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ebsites\MyWebsite trans\Generate trnscript\"/>
    </mc:Choice>
  </mc:AlternateContent>
  <xr:revisionPtr revIDLastSave="0" documentId="13_ncr:1_{8C7A366D-107A-4C4C-B746-5F25975513D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mester 1" sheetId="1" r:id="rId1"/>
    <sheet name="Semester 2" sheetId="2" r:id="rId2"/>
    <sheet name="Semester 3" sheetId="3" r:id="rId3"/>
    <sheet name="Semester 4" sheetId="4" r:id="rId4"/>
    <sheet name="Semester 5" sheetId="5" r:id="rId5"/>
    <sheet name="Semester 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etbYZnn9WqGc7cTDdrAjj/UPOwYJu1mH+Gnajq5rDJE="/>
    </ext>
  </extLst>
</workbook>
</file>

<file path=xl/calcChain.xml><?xml version="1.0" encoding="utf-8"?>
<calcChain xmlns="http://schemas.openxmlformats.org/spreadsheetml/2006/main">
  <c r="N62" i="6" l="1" a="1"/>
  <c r="N62" i="6" s="1"/>
  <c r="O62" i="6" s="1"/>
  <c r="M62" i="6"/>
  <c r="N61" i="6" a="1"/>
  <c r="N61" i="6" s="1"/>
  <c r="O61" i="6" s="1"/>
  <c r="M61" i="6"/>
  <c r="N60" i="6" a="1"/>
  <c r="N60" i="6" s="1"/>
  <c r="O60" i="6" s="1"/>
  <c r="M60" i="6"/>
  <c r="N59" i="6" a="1"/>
  <c r="N59" i="6" s="1"/>
  <c r="O59" i="6" s="1"/>
  <c r="M59" i="6"/>
  <c r="N58" i="6" a="1"/>
  <c r="N58" i="6" s="1"/>
  <c r="O58" i="6" s="1"/>
  <c r="M58" i="6"/>
  <c r="N57" i="6" a="1"/>
  <c r="N57" i="6" s="1"/>
  <c r="O57" i="6" s="1"/>
  <c r="M57" i="6"/>
  <c r="N56" i="6" a="1"/>
  <c r="N56" i="6" s="1"/>
  <c r="O56" i="6" s="1"/>
  <c r="M56" i="6"/>
  <c r="N55" i="6" a="1"/>
  <c r="N55" i="6" s="1"/>
  <c r="O55" i="6" s="1"/>
  <c r="M55" i="6"/>
  <c r="N54" i="6" a="1"/>
  <c r="N54" i="6" s="1"/>
  <c r="O54" i="6" s="1"/>
  <c r="M54" i="6"/>
  <c r="N53" i="6" a="1"/>
  <c r="N53" i="6" s="1"/>
  <c r="O53" i="6" s="1"/>
  <c r="M53" i="6"/>
  <c r="N52" i="6" a="1"/>
  <c r="N52" i="6" s="1"/>
  <c r="O52" i="6" s="1"/>
  <c r="M52" i="6"/>
  <c r="N51" i="6" a="1"/>
  <c r="N51" i="6" s="1"/>
  <c r="O51" i="6" s="1"/>
  <c r="M51" i="6"/>
  <c r="N50" i="6" a="1"/>
  <c r="N50" i="6" s="1"/>
  <c r="O50" i="6" s="1"/>
  <c r="M50" i="6"/>
  <c r="N49" i="6" a="1"/>
  <c r="N49" i="6" s="1"/>
  <c r="O49" i="6" s="1"/>
  <c r="M49" i="6"/>
  <c r="N48" i="6" a="1"/>
  <c r="N48" i="6" s="1"/>
  <c r="O48" i="6" s="1"/>
  <c r="M48" i="6"/>
  <c r="N47" i="6" a="1"/>
  <c r="N47" i="6" s="1"/>
  <c r="O47" i="6" s="1"/>
  <c r="M47" i="6"/>
  <c r="N46" i="6" a="1"/>
  <c r="N46" i="6" s="1"/>
  <c r="O46" i="6" s="1"/>
  <c r="M46" i="6"/>
  <c r="N45" i="6" a="1"/>
  <c r="N45" i="6" s="1"/>
  <c r="O45" i="6" s="1"/>
  <c r="M45" i="6"/>
  <c r="N44" i="6" a="1"/>
  <c r="N44" i="6" s="1"/>
  <c r="O44" i="6" s="1"/>
  <c r="M44" i="6"/>
  <c r="N43" i="6" a="1"/>
  <c r="N43" i="6" s="1"/>
  <c r="O43" i="6" s="1"/>
  <c r="M43" i="6"/>
  <c r="N42" i="6" a="1"/>
  <c r="N42" i="6" s="1"/>
  <c r="O42" i="6" s="1"/>
  <c r="M42" i="6"/>
  <c r="N41" i="6" a="1"/>
  <c r="N41" i="6" s="1"/>
  <c r="O41" i="6" s="1"/>
  <c r="M41" i="6"/>
  <c r="N40" i="6" a="1"/>
  <c r="N40" i="6" s="1"/>
  <c r="O40" i="6" s="1"/>
  <c r="M40" i="6"/>
  <c r="N39" i="6" a="1"/>
  <c r="N39" i="6" s="1"/>
  <c r="O39" i="6" s="1"/>
  <c r="M39" i="6"/>
  <c r="N38" i="6" a="1"/>
  <c r="N38" i="6" s="1"/>
  <c r="O38" i="6" s="1"/>
  <c r="M38" i="6"/>
  <c r="N37" i="6" a="1"/>
  <c r="N37" i="6" s="1"/>
  <c r="O37" i="6" s="1"/>
  <c r="M37" i="6"/>
  <c r="N36" i="6" a="1"/>
  <c r="N36" i="6" s="1"/>
  <c r="O36" i="6" s="1"/>
  <c r="M36" i="6"/>
  <c r="N35" i="6" a="1"/>
  <c r="N35" i="6" s="1"/>
  <c r="O35" i="6" s="1"/>
  <c r="M35" i="6"/>
  <c r="N34" i="6" a="1"/>
  <c r="N34" i="6" s="1"/>
  <c r="O34" i="6" s="1"/>
  <c r="M34" i="6"/>
  <c r="N33" i="6" a="1"/>
  <c r="N33" i="6" s="1"/>
  <c r="O33" i="6" s="1"/>
  <c r="M33" i="6"/>
  <c r="N32" i="6" a="1"/>
  <c r="N32" i="6" s="1"/>
  <c r="O32" i="6" s="1"/>
  <c r="M32" i="6"/>
  <c r="N31" i="6" a="1"/>
  <c r="N31" i="6" s="1"/>
  <c r="O31" i="6" s="1"/>
  <c r="M31" i="6"/>
  <c r="N30" i="6" a="1"/>
  <c r="N30" i="6" s="1"/>
  <c r="O30" i="6" s="1"/>
  <c r="M30" i="6"/>
  <c r="N29" i="6" a="1"/>
  <c r="N29" i="6" s="1"/>
  <c r="O29" i="6" s="1"/>
  <c r="M29" i="6"/>
  <c r="N28" i="6" a="1"/>
  <c r="N28" i="6" s="1"/>
  <c r="O28" i="6" s="1"/>
  <c r="M28" i="6"/>
  <c r="N27" i="6" a="1"/>
  <c r="N27" i="6" s="1"/>
  <c r="O27" i="6" s="1"/>
  <c r="M27" i="6"/>
  <c r="N26" i="6" a="1"/>
  <c r="N26" i="6" s="1"/>
  <c r="O26" i="6" s="1"/>
  <c r="M26" i="6"/>
  <c r="N25" i="6" a="1"/>
  <c r="N25" i="6" s="1"/>
  <c r="O25" i="6" s="1"/>
  <c r="M25" i="6"/>
  <c r="N24" i="6" a="1"/>
  <c r="N24" i="6" s="1"/>
  <c r="O24" i="6" s="1"/>
  <c r="M24" i="6"/>
  <c r="N23" i="6" a="1"/>
  <c r="N23" i="6"/>
  <c r="M23" i="6"/>
  <c r="N22" i="6" a="1"/>
  <c r="N22" i="6"/>
  <c r="O22" i="6" s="1"/>
  <c r="M22" i="6"/>
  <c r="N21" i="6" a="1"/>
  <c r="N21" i="6" s="1"/>
  <c r="O21" i="6" s="1"/>
  <c r="M21" i="6"/>
  <c r="N20" i="6" a="1"/>
  <c r="N20" i="6" s="1"/>
  <c r="O20" i="6" s="1"/>
  <c r="M20" i="6"/>
  <c r="N19" i="6" a="1"/>
  <c r="N19" i="6" s="1"/>
  <c r="O19" i="6" s="1"/>
  <c r="M19" i="6"/>
  <c r="N18" i="6" a="1"/>
  <c r="N18" i="6" s="1"/>
  <c r="O18" i="6" s="1"/>
  <c r="M18" i="6"/>
  <c r="N17" i="6" a="1"/>
  <c r="N17" i="6" s="1"/>
  <c r="O17" i="6" s="1"/>
  <c r="M17" i="6"/>
  <c r="N16" i="6" a="1"/>
  <c r="N16" i="6" s="1"/>
  <c r="O16" i="6" s="1"/>
  <c r="M16" i="6"/>
  <c r="N15" i="6" a="1"/>
  <c r="N15" i="6" s="1"/>
  <c r="O15" i="6" s="1"/>
  <c r="M15" i="6"/>
  <c r="N14" i="6" a="1"/>
  <c r="N14" i="6"/>
  <c r="O14" i="6" s="1"/>
  <c r="M14" i="6"/>
  <c r="N13" i="6" a="1"/>
  <c r="N13" i="6" s="1"/>
  <c r="O13" i="6" s="1"/>
  <c r="M13" i="6"/>
  <c r="N12" i="6" a="1"/>
  <c r="N12" i="6" s="1"/>
  <c r="O12" i="6" s="1"/>
  <c r="M12" i="6"/>
  <c r="N11" i="6" a="1"/>
  <c r="N11" i="6" s="1"/>
  <c r="O11" i="6" s="1"/>
  <c r="M11" i="6"/>
  <c r="N10" i="6" a="1"/>
  <c r="N10" i="6"/>
  <c r="O10" i="6" s="1"/>
  <c r="M10" i="6"/>
  <c r="N9" i="6" a="1"/>
  <c r="N9" i="6" s="1"/>
  <c r="O9" i="6" s="1"/>
  <c r="M9" i="6"/>
  <c r="N8" i="6" a="1"/>
  <c r="N8" i="6"/>
  <c r="O8" i="6" s="1"/>
  <c r="M8" i="6"/>
  <c r="N7" i="6" a="1"/>
  <c r="N7" i="6"/>
  <c r="O7" i="6" s="1"/>
  <c r="M7" i="6"/>
  <c r="Q52" i="5" a="1"/>
  <c r="Q52" i="5"/>
  <c r="O52" i="5"/>
  <c r="Q51" i="5" a="1"/>
  <c r="Q51" i="5" s="1"/>
  <c r="O51" i="5"/>
  <c r="Q50" i="5" a="1"/>
  <c r="Q50" i="5" s="1"/>
  <c r="O50" i="5"/>
  <c r="Q49" i="5" a="1"/>
  <c r="Q49" i="5" s="1"/>
  <c r="P49" i="5" a="1"/>
  <c r="P49" i="5" s="1"/>
  <c r="O49" i="5"/>
  <c r="Q48" i="5" a="1"/>
  <c r="Q48" i="5"/>
  <c r="O48" i="5"/>
  <c r="Q47" i="5" a="1"/>
  <c r="Q47" i="5" s="1"/>
  <c r="O47" i="5"/>
  <c r="Q46" i="5" a="1"/>
  <c r="Q46" i="5" s="1"/>
  <c r="O46" i="5"/>
  <c r="Q45" i="5" a="1"/>
  <c r="Q45" i="5"/>
  <c r="O45" i="5"/>
  <c r="Q44" i="5" a="1"/>
  <c r="Q44" i="5" s="1"/>
  <c r="O44" i="5"/>
  <c r="Q43" i="5" a="1"/>
  <c r="Q43" i="5" s="1"/>
  <c r="O43" i="5"/>
  <c r="Q42" i="5" a="1"/>
  <c r="Q42" i="5" s="1"/>
  <c r="O42" i="5"/>
  <c r="Q41" i="5" a="1"/>
  <c r="Q41" i="5" s="1"/>
  <c r="O41" i="5"/>
  <c r="Q40" i="5" a="1"/>
  <c r="Q40" i="5" s="1"/>
  <c r="P40" i="5" a="1"/>
  <c r="P40" i="5" s="1"/>
  <c r="O40" i="5"/>
  <c r="Q39" i="5" a="1"/>
  <c r="Q39" i="5" s="1"/>
  <c r="O39" i="5"/>
  <c r="Q38" i="5" a="1"/>
  <c r="Q38" i="5" s="1"/>
  <c r="O38" i="5"/>
  <c r="Q37" i="5" a="1"/>
  <c r="Q37" i="5"/>
  <c r="O37" i="5"/>
  <c r="Q36" i="5" a="1"/>
  <c r="Q36" i="5" s="1"/>
  <c r="P36" i="5" a="1"/>
  <c r="P36" i="5" s="1"/>
  <c r="O36" i="5"/>
  <c r="Q35" i="5" a="1"/>
  <c r="Q35" i="5" s="1"/>
  <c r="O35" i="5"/>
  <c r="Q34" i="5" a="1"/>
  <c r="Q34" i="5" s="1"/>
  <c r="O34" i="5"/>
  <c r="Q33" i="5" a="1"/>
  <c r="Q33" i="5"/>
  <c r="O33" i="5"/>
  <c r="Q32" i="5" a="1"/>
  <c r="Q32" i="5" s="1"/>
  <c r="P32" i="5" a="1"/>
  <c r="P32" i="5" s="1"/>
  <c r="O32" i="5"/>
  <c r="Q31" i="5" a="1"/>
  <c r="Q31" i="5" s="1"/>
  <c r="O31" i="5"/>
  <c r="Q30" i="5" a="1"/>
  <c r="Q30" i="5" s="1"/>
  <c r="O30" i="5"/>
  <c r="Q29" i="5" a="1"/>
  <c r="Q29" i="5" s="1"/>
  <c r="O29" i="5"/>
  <c r="Q28" i="5" a="1"/>
  <c r="Q28" i="5" s="1"/>
  <c r="O28" i="5"/>
  <c r="Q27" i="5" a="1"/>
  <c r="Q27" i="5" s="1"/>
  <c r="O27" i="5"/>
  <c r="Q26" i="5" a="1"/>
  <c r="Q26" i="5" s="1"/>
  <c r="O26" i="5"/>
  <c r="Q25" i="5" a="1"/>
  <c r="Q25" i="5" s="1"/>
  <c r="O25" i="5"/>
  <c r="Q24" i="5" a="1"/>
  <c r="Q24" i="5" s="1"/>
  <c r="P24" i="5" a="1"/>
  <c r="P24" i="5" s="1"/>
  <c r="O24" i="5"/>
  <c r="Q23" i="5" a="1"/>
  <c r="Q23" i="5"/>
  <c r="O23" i="5"/>
  <c r="Q22" i="5" a="1"/>
  <c r="Q22" i="5" s="1"/>
  <c r="O22" i="5"/>
  <c r="Q21" i="5" a="1"/>
  <c r="Q21" i="5" s="1"/>
  <c r="O21" i="5"/>
  <c r="Q20" i="5" a="1"/>
  <c r="Q20" i="5" s="1"/>
  <c r="O20" i="5"/>
  <c r="Q19" i="5" a="1"/>
  <c r="Q19" i="5" s="1"/>
  <c r="O19" i="5"/>
  <c r="Q18" i="5" a="1"/>
  <c r="Q18" i="5" s="1"/>
  <c r="O18" i="5"/>
  <c r="Q17" i="5" a="1"/>
  <c r="Q17" i="5"/>
  <c r="O17" i="5"/>
  <c r="Q16" i="5" a="1"/>
  <c r="Q16" i="5" s="1"/>
  <c r="O16" i="5"/>
  <c r="Q15" i="5" a="1"/>
  <c r="Q15" i="5"/>
  <c r="O15" i="5"/>
  <c r="Q14" i="5" a="1"/>
  <c r="Q14" i="5" s="1"/>
  <c r="O14" i="5"/>
  <c r="Q13" i="5" a="1"/>
  <c r="Q13" i="5" s="1"/>
  <c r="O13" i="5"/>
  <c r="Q12" i="5" a="1"/>
  <c r="Q12" i="5" s="1"/>
  <c r="O12" i="5"/>
  <c r="Q11" i="5" a="1"/>
  <c r="Q11" i="5"/>
  <c r="O11" i="5"/>
  <c r="Q10" i="5" a="1"/>
  <c r="Q10" i="5" s="1"/>
  <c r="O10" i="5"/>
  <c r="Q9" i="5" a="1"/>
  <c r="Q9" i="5" s="1"/>
  <c r="O9" i="5"/>
  <c r="Q8" i="5" a="1"/>
  <c r="Q8" i="5"/>
  <c r="P8" i="5" a="1"/>
  <c r="P8" i="5" s="1"/>
  <c r="O8" i="5"/>
  <c r="Q7" i="5" a="1"/>
  <c r="Q7" i="5" s="1"/>
  <c r="O7" i="5"/>
  <c r="O62" i="4" a="1"/>
  <c r="O62" i="4" s="1"/>
  <c r="P52" i="5" s="1" a="1"/>
  <c r="P52" i="5" s="1"/>
  <c r="N62" i="4"/>
  <c r="O61" i="4" a="1"/>
  <c r="O61" i="4"/>
  <c r="P51" i="5" s="1" a="1"/>
  <c r="P51" i="5" s="1"/>
  <c r="N61" i="4"/>
  <c r="O60" i="4" a="1"/>
  <c r="O60" i="4"/>
  <c r="P50" i="5" s="1" a="1"/>
  <c r="P50" i="5" s="1"/>
  <c r="N60" i="4"/>
  <c r="O59" i="4" a="1"/>
  <c r="O59" i="4"/>
  <c r="N59" i="4"/>
  <c r="O58" i="4" a="1"/>
  <c r="O58" i="4" s="1"/>
  <c r="P48" i="5" s="1" a="1"/>
  <c r="P48" i="5" s="1"/>
  <c r="N58" i="4"/>
  <c r="O57" i="4" a="1"/>
  <c r="O57" i="4"/>
  <c r="P47" i="5" s="1" a="1"/>
  <c r="P47" i="5" s="1"/>
  <c r="N57" i="4"/>
  <c r="O56" i="4" a="1"/>
  <c r="O56" i="4"/>
  <c r="P46" i="5" s="1" a="1"/>
  <c r="P46" i="5" s="1"/>
  <c r="N56" i="4"/>
  <c r="O55" i="4" a="1"/>
  <c r="O55" i="4"/>
  <c r="N55" i="4"/>
  <c r="O54" i="4" a="1"/>
  <c r="O54" i="4" s="1"/>
  <c r="P45" i="5" s="1" a="1"/>
  <c r="P45" i="5" s="1"/>
  <c r="N54" i="4"/>
  <c r="O53" i="4" a="1"/>
  <c r="O53" i="4"/>
  <c r="P44" i="5" s="1" a="1"/>
  <c r="P44" i="5" s="1"/>
  <c r="N53" i="4"/>
  <c r="O52" i="4" a="1"/>
  <c r="O52" i="4"/>
  <c r="P43" i="5" s="1" a="1"/>
  <c r="P43" i="5" s="1"/>
  <c r="N52" i="4"/>
  <c r="O51" i="4" a="1"/>
  <c r="O51" i="4" s="1"/>
  <c r="P42" i="5" s="1" a="1"/>
  <c r="P42" i="5" s="1"/>
  <c r="N51" i="4"/>
  <c r="O50" i="4" a="1"/>
  <c r="O50" i="4" s="1"/>
  <c r="N50" i="4"/>
  <c r="O49" i="4" a="1"/>
  <c r="O49" i="4"/>
  <c r="P41" i="5" s="1" a="1"/>
  <c r="P41" i="5" s="1"/>
  <c r="N49" i="4"/>
  <c r="O48" i="4" a="1"/>
  <c r="O48" i="4"/>
  <c r="N48" i="4"/>
  <c r="O47" i="4" a="1"/>
  <c r="O47" i="4"/>
  <c r="P39" i="5" s="1" a="1"/>
  <c r="P39" i="5" s="1"/>
  <c r="N47" i="4"/>
  <c r="O46" i="4" a="1"/>
  <c r="O46" i="4" s="1"/>
  <c r="P38" i="5" s="1" a="1"/>
  <c r="P38" i="5" s="1"/>
  <c r="N46" i="4"/>
  <c r="O45" i="4" a="1"/>
  <c r="O45" i="4"/>
  <c r="P37" i="5" s="1" a="1"/>
  <c r="P37" i="5" s="1"/>
  <c r="N45" i="4"/>
  <c r="O44" i="4" a="1"/>
  <c r="O44" i="4"/>
  <c r="N44" i="4"/>
  <c r="O43" i="4" a="1"/>
  <c r="O43" i="4"/>
  <c r="N43" i="4"/>
  <c r="O42" i="4" a="1"/>
  <c r="O42" i="4" s="1"/>
  <c r="P35" i="5" s="1" a="1"/>
  <c r="P35" i="5" s="1"/>
  <c r="N42" i="4"/>
  <c r="O41" i="4" a="1"/>
  <c r="O41" i="4"/>
  <c r="P34" i="5" s="1" a="1"/>
  <c r="P34" i="5" s="1"/>
  <c r="N41" i="4"/>
  <c r="O40" i="4" a="1"/>
  <c r="O40" i="4"/>
  <c r="P33" i="5" s="1" a="1"/>
  <c r="P33" i="5" s="1"/>
  <c r="N40" i="4"/>
  <c r="O39" i="4" a="1"/>
  <c r="O39" i="4"/>
  <c r="N39" i="4"/>
  <c r="O38" i="4" a="1"/>
  <c r="O38" i="4" s="1"/>
  <c r="N38" i="4"/>
  <c r="O37" i="4" a="1"/>
  <c r="O37" i="4"/>
  <c r="P31" i="5" s="1" a="1"/>
  <c r="P31" i="5" s="1"/>
  <c r="N37" i="4"/>
  <c r="O36" i="4" a="1"/>
  <c r="O36" i="4"/>
  <c r="P30" i="5" s="1" a="1"/>
  <c r="P30" i="5" s="1"/>
  <c r="N36" i="4"/>
  <c r="O35" i="4" a="1"/>
  <c r="O35" i="4"/>
  <c r="N35" i="4"/>
  <c r="O34" i="4" a="1"/>
  <c r="O34" i="4" s="1"/>
  <c r="P29" i="5" s="1" a="1"/>
  <c r="P29" i="5" s="1"/>
  <c r="N34" i="4"/>
  <c r="O33" i="4" a="1"/>
  <c r="O33" i="4"/>
  <c r="P28" i="5" s="1" a="1"/>
  <c r="P28" i="5" s="1"/>
  <c r="N33" i="4"/>
  <c r="O32" i="4" a="1"/>
  <c r="O32" i="4"/>
  <c r="P27" i="5" s="1" a="1"/>
  <c r="P27" i="5" s="1"/>
  <c r="N32" i="4"/>
  <c r="O31" i="4" a="1"/>
  <c r="O31" i="4" s="1"/>
  <c r="P26" i="5" s="1" a="1"/>
  <c r="P26" i="5" s="1"/>
  <c r="N31" i="4"/>
  <c r="O30" i="4" a="1"/>
  <c r="O30" i="4" s="1"/>
  <c r="P25" i="5" s="1" a="1"/>
  <c r="P25" i="5" s="1"/>
  <c r="N30" i="4"/>
  <c r="O29" i="4" a="1"/>
  <c r="O29" i="4"/>
  <c r="N29" i="4"/>
  <c r="O28" i="4" a="1"/>
  <c r="O28" i="4"/>
  <c r="P23" i="5" s="1" a="1"/>
  <c r="P23" i="5" s="1"/>
  <c r="N28" i="4"/>
  <c r="O27" i="4" a="1"/>
  <c r="O27" i="4"/>
  <c r="P22" i="5" s="1" a="1"/>
  <c r="P22" i="5" s="1"/>
  <c r="N27" i="4"/>
  <c r="O26" i="4" a="1"/>
  <c r="O26" i="4" s="1"/>
  <c r="P21" i="5" s="1" a="1"/>
  <c r="P21" i="5" s="1"/>
  <c r="N26" i="4"/>
  <c r="O25" i="4" a="1"/>
  <c r="O25" i="4"/>
  <c r="P20" i="5" s="1" a="1"/>
  <c r="P20" i="5" s="1"/>
  <c r="N25" i="4"/>
  <c r="O24" i="4" a="1"/>
  <c r="O24" i="4"/>
  <c r="P19" i="5" s="1" a="1"/>
  <c r="P19" i="5" s="1"/>
  <c r="N24" i="4"/>
  <c r="O23" i="4" a="1"/>
  <c r="O23" i="4" s="1"/>
  <c r="P18" i="5" s="1" a="1"/>
  <c r="P18" i="5" s="1"/>
  <c r="N23" i="4"/>
  <c r="O22" i="4" a="1"/>
  <c r="O22" i="4" s="1"/>
  <c r="P17" i="5" s="1" a="1"/>
  <c r="P17" i="5" s="1"/>
  <c r="N22" i="4"/>
  <c r="O21" i="4" a="1"/>
  <c r="O21" i="4"/>
  <c r="N21" i="4"/>
  <c r="O20" i="4" a="1"/>
  <c r="O20" i="4"/>
  <c r="N20" i="4"/>
  <c r="O19" i="4" a="1"/>
  <c r="O19" i="4"/>
  <c r="N19" i="4"/>
  <c r="O18" i="4" a="1"/>
  <c r="O18" i="4" s="1"/>
  <c r="P16" i="5" s="1" a="1"/>
  <c r="P16" i="5" s="1"/>
  <c r="N18" i="4"/>
  <c r="O17" i="4" a="1"/>
  <c r="O17" i="4"/>
  <c r="P15" i="5" s="1" a="1"/>
  <c r="P15" i="5" s="1"/>
  <c r="N17" i="4"/>
  <c r="O16" i="4" a="1"/>
  <c r="O16" i="4"/>
  <c r="P14" i="5" s="1" a="1"/>
  <c r="P14" i="5" s="1"/>
  <c r="N16" i="4"/>
  <c r="O15" i="4" a="1"/>
  <c r="O15" i="4" s="1"/>
  <c r="P13" i="5" s="1" a="1"/>
  <c r="P13" i="5" s="1"/>
  <c r="N15" i="4"/>
  <c r="O14" i="4" a="1"/>
  <c r="O14" i="4" s="1"/>
  <c r="N14" i="4"/>
  <c r="O13" i="4" a="1"/>
  <c r="O13" i="4"/>
  <c r="P12" i="5" s="1" a="1"/>
  <c r="P12" i="5" s="1"/>
  <c r="N13" i="4"/>
  <c r="O12" i="4" a="1"/>
  <c r="O12" i="4"/>
  <c r="P11" i="5" s="1" a="1"/>
  <c r="P11" i="5" s="1"/>
  <c r="N12" i="4"/>
  <c r="O11" i="4" a="1"/>
  <c r="O11" i="4"/>
  <c r="N11" i="4"/>
  <c r="O10" i="4" a="1"/>
  <c r="O10" i="4" s="1"/>
  <c r="P10" i="5" s="1" a="1"/>
  <c r="P10" i="5" s="1"/>
  <c r="N10" i="4"/>
  <c r="O9" i="4" a="1"/>
  <c r="O9" i="4"/>
  <c r="P9" i="5" s="1" a="1"/>
  <c r="P9" i="5" s="1"/>
  <c r="N9" i="4"/>
  <c r="O8" i="4" a="1"/>
  <c r="O8" i="4"/>
  <c r="N8" i="4"/>
  <c r="O7" i="4" a="1"/>
  <c r="O7" i="4" s="1"/>
  <c r="P7" i="5" s="1" a="1"/>
  <c r="P7" i="5" s="1"/>
  <c r="N7" i="4"/>
  <c r="P62" i="3" a="1"/>
  <c r="P62" i="3" s="1"/>
  <c r="O62" i="3"/>
  <c r="P61" i="3" a="1"/>
  <c r="P61" i="3"/>
  <c r="O61" i="3"/>
  <c r="P60" i="3" a="1"/>
  <c r="P60" i="3"/>
  <c r="O60" i="3"/>
  <c r="P59" i="3" a="1"/>
  <c r="P59" i="3"/>
  <c r="O59" i="3"/>
  <c r="P58" i="3" a="1"/>
  <c r="P58" i="3" s="1"/>
  <c r="O58" i="3"/>
  <c r="P57" i="3" a="1"/>
  <c r="P57" i="3"/>
  <c r="O57" i="3"/>
  <c r="P56" i="3" a="1"/>
  <c r="P56" i="3"/>
  <c r="O56" i="3"/>
  <c r="P55" i="3" a="1"/>
  <c r="P55" i="3" s="1"/>
  <c r="O55" i="3"/>
  <c r="P54" i="3" a="1"/>
  <c r="P54" i="3" s="1"/>
  <c r="O54" i="3"/>
  <c r="P53" i="3" a="1"/>
  <c r="P53" i="3"/>
  <c r="O53" i="3"/>
  <c r="P52" i="3" a="1"/>
  <c r="P52" i="3"/>
  <c r="O52" i="3"/>
  <c r="P51" i="3" a="1"/>
  <c r="P51" i="3"/>
  <c r="O51" i="3"/>
  <c r="P50" i="3" a="1"/>
  <c r="P50" i="3" s="1"/>
  <c r="O50" i="3"/>
  <c r="P49" i="3" a="1"/>
  <c r="P49" i="3"/>
  <c r="O49" i="3"/>
  <c r="P48" i="3" a="1"/>
  <c r="P48" i="3"/>
  <c r="O48" i="3"/>
  <c r="P47" i="3" a="1"/>
  <c r="P47" i="3" s="1"/>
  <c r="O47" i="3"/>
  <c r="P46" i="3" a="1"/>
  <c r="P46" i="3" s="1"/>
  <c r="O46" i="3"/>
  <c r="P45" i="3" a="1"/>
  <c r="P45" i="3"/>
  <c r="O45" i="3"/>
  <c r="P44" i="3" a="1"/>
  <c r="P44" i="3"/>
  <c r="O44" i="3"/>
  <c r="P43" i="3" a="1"/>
  <c r="P43" i="3" s="1"/>
  <c r="O43" i="3"/>
  <c r="P42" i="3" a="1"/>
  <c r="P42" i="3" s="1"/>
  <c r="O42" i="3"/>
  <c r="P41" i="3" a="1"/>
  <c r="P41" i="3"/>
  <c r="O41" i="3"/>
  <c r="P40" i="3" a="1"/>
  <c r="P40" i="3"/>
  <c r="O40" i="3"/>
  <c r="P39" i="3" a="1"/>
  <c r="P39" i="3" s="1"/>
  <c r="O39" i="3"/>
  <c r="P38" i="3" a="1"/>
  <c r="P38" i="3" s="1"/>
  <c r="O38" i="3"/>
  <c r="P37" i="3" a="1"/>
  <c r="P37" i="3"/>
  <c r="O37" i="3"/>
  <c r="P36" i="3" a="1"/>
  <c r="P36" i="3"/>
  <c r="O36" i="3"/>
  <c r="P35" i="3" a="1"/>
  <c r="P35" i="3"/>
  <c r="O35" i="3"/>
  <c r="P34" i="3" a="1"/>
  <c r="P34" i="3" s="1"/>
  <c r="O34" i="3"/>
  <c r="P33" i="3" a="1"/>
  <c r="P33" i="3"/>
  <c r="O33" i="3"/>
  <c r="P32" i="3" a="1"/>
  <c r="P32" i="3"/>
  <c r="O32" i="3"/>
  <c r="P31" i="3" a="1"/>
  <c r="P31" i="3" s="1"/>
  <c r="O31" i="3"/>
  <c r="P30" i="3" a="1"/>
  <c r="P30" i="3" s="1"/>
  <c r="O30" i="3"/>
  <c r="P29" i="3" a="1"/>
  <c r="P29" i="3"/>
  <c r="O29" i="3"/>
  <c r="P28" i="3" a="1"/>
  <c r="P28" i="3"/>
  <c r="O28" i="3"/>
  <c r="P27" i="3" a="1"/>
  <c r="P27" i="3"/>
  <c r="O27" i="3"/>
  <c r="P26" i="3" a="1"/>
  <c r="P26" i="3" s="1"/>
  <c r="O26" i="3"/>
  <c r="P25" i="3" a="1"/>
  <c r="P25" i="3"/>
  <c r="O25" i="3"/>
  <c r="P24" i="3" a="1"/>
  <c r="P24" i="3"/>
  <c r="O24" i="3"/>
  <c r="P23" i="3" a="1"/>
  <c r="P23" i="3" s="1"/>
  <c r="O23" i="3"/>
  <c r="P22" i="3" a="1"/>
  <c r="P22" i="3" s="1"/>
  <c r="O22" i="3"/>
  <c r="P21" i="3" a="1"/>
  <c r="P21" i="3"/>
  <c r="O21" i="3"/>
  <c r="P20" i="3" a="1"/>
  <c r="P20" i="3"/>
  <c r="O20" i="3"/>
  <c r="P19" i="3" a="1"/>
  <c r="P19" i="3"/>
  <c r="O19" i="3"/>
  <c r="P18" i="3" a="1"/>
  <c r="P18" i="3" s="1"/>
  <c r="O18" i="3"/>
  <c r="P17" i="3" a="1"/>
  <c r="P17" i="3"/>
  <c r="O17" i="3"/>
  <c r="P16" i="3" a="1"/>
  <c r="P16" i="3"/>
  <c r="O16" i="3"/>
  <c r="P15" i="3" a="1"/>
  <c r="P15" i="3" s="1"/>
  <c r="O15" i="3"/>
  <c r="P14" i="3" a="1"/>
  <c r="P14" i="3" s="1"/>
  <c r="O14" i="3"/>
  <c r="P13" i="3" a="1"/>
  <c r="P13" i="3"/>
  <c r="O13" i="3"/>
  <c r="P12" i="3" a="1"/>
  <c r="P12" i="3"/>
  <c r="O12" i="3"/>
  <c r="P11" i="3" a="1"/>
  <c r="P11" i="3"/>
  <c r="O11" i="3"/>
  <c r="P10" i="3" a="1"/>
  <c r="P10" i="3" s="1"/>
  <c r="O10" i="3"/>
  <c r="P9" i="3" a="1"/>
  <c r="P9" i="3"/>
  <c r="O9" i="3"/>
  <c r="P8" i="3" a="1"/>
  <c r="P8" i="3"/>
  <c r="O8" i="3"/>
  <c r="P7" i="3" a="1"/>
  <c r="P7" i="3" s="1"/>
  <c r="O7" i="3"/>
  <c r="K62" i="2" a="1"/>
  <c r="K62" i="2" s="1"/>
  <c r="J62" i="2"/>
  <c r="K61" i="2" a="1"/>
  <c r="K61" i="2"/>
  <c r="J61" i="2"/>
  <c r="K60" i="2" a="1"/>
  <c r="K60" i="2"/>
  <c r="J60" i="2"/>
  <c r="K59" i="2" a="1"/>
  <c r="K59" i="2"/>
  <c r="J59" i="2"/>
  <c r="K58" i="2" a="1"/>
  <c r="K58" i="2" s="1"/>
  <c r="J58" i="2"/>
  <c r="K57" i="2" a="1"/>
  <c r="K57" i="2"/>
  <c r="J57" i="2"/>
  <c r="K56" i="2" a="1"/>
  <c r="K56" i="2"/>
  <c r="J56" i="2"/>
  <c r="K55" i="2" a="1"/>
  <c r="K55" i="2" s="1"/>
  <c r="J55" i="2"/>
  <c r="K54" i="2" a="1"/>
  <c r="K54" i="2" s="1"/>
  <c r="J54" i="2"/>
  <c r="K53" i="2" a="1"/>
  <c r="K53" i="2"/>
  <c r="J53" i="2"/>
  <c r="K52" i="2" a="1"/>
  <c r="K52" i="2"/>
  <c r="J52" i="2"/>
  <c r="K51" i="2" a="1"/>
  <c r="K51" i="2"/>
  <c r="J51" i="2"/>
  <c r="K50" i="2" a="1"/>
  <c r="K50" i="2" s="1"/>
  <c r="J50" i="2"/>
  <c r="K49" i="2" a="1"/>
  <c r="K49" i="2"/>
  <c r="J49" i="2"/>
  <c r="K48" i="2" a="1"/>
  <c r="K48" i="2"/>
  <c r="J48" i="2"/>
  <c r="K47" i="2" a="1"/>
  <c r="K47" i="2"/>
  <c r="J47" i="2"/>
  <c r="K46" i="2" a="1"/>
  <c r="K46" i="2" s="1"/>
  <c r="J46" i="2"/>
  <c r="K45" i="2" a="1"/>
  <c r="K45" i="2"/>
  <c r="J45" i="2"/>
  <c r="K44" i="2" a="1"/>
  <c r="K44" i="2"/>
  <c r="J44" i="2"/>
  <c r="K43" i="2" a="1"/>
  <c r="K43" i="2"/>
  <c r="J43" i="2"/>
  <c r="K42" i="2" a="1"/>
  <c r="K42" i="2" s="1"/>
  <c r="J42" i="2"/>
  <c r="K41" i="2" a="1"/>
  <c r="K41" i="2"/>
  <c r="J41" i="2"/>
  <c r="K40" i="2" a="1"/>
  <c r="K40" i="2"/>
  <c r="J40" i="2"/>
  <c r="K39" i="2" a="1"/>
  <c r="K39" i="2"/>
  <c r="J39" i="2"/>
  <c r="K38" i="2" a="1"/>
  <c r="K38" i="2" s="1"/>
  <c r="J38" i="2"/>
  <c r="K37" i="2" a="1"/>
  <c r="K37" i="2"/>
  <c r="J37" i="2"/>
  <c r="K36" i="2" a="1"/>
  <c r="K36" i="2"/>
  <c r="J36" i="2"/>
  <c r="K35" i="2" a="1"/>
  <c r="K35" i="2"/>
  <c r="J35" i="2"/>
  <c r="K34" i="2" a="1"/>
  <c r="K34" i="2" s="1"/>
  <c r="J34" i="2"/>
  <c r="K33" i="2" a="1"/>
  <c r="K33" i="2"/>
  <c r="J33" i="2"/>
  <c r="K32" i="2" a="1"/>
  <c r="K32" i="2"/>
  <c r="J32" i="2"/>
  <c r="K31" i="2" a="1"/>
  <c r="K31" i="2"/>
  <c r="J31" i="2"/>
  <c r="K30" i="2" a="1"/>
  <c r="K30" i="2" s="1"/>
  <c r="J30" i="2"/>
  <c r="K29" i="2" a="1"/>
  <c r="K29" i="2"/>
  <c r="J29" i="2"/>
  <c r="K28" i="2" a="1"/>
  <c r="K28" i="2"/>
  <c r="J28" i="2"/>
  <c r="K27" i="2" a="1"/>
  <c r="K27" i="2"/>
  <c r="J27" i="2"/>
  <c r="K26" i="2" a="1"/>
  <c r="K26" i="2" s="1"/>
  <c r="J26" i="2"/>
  <c r="K25" i="2" a="1"/>
  <c r="K25" i="2"/>
  <c r="J25" i="2"/>
  <c r="K24" i="2" a="1"/>
  <c r="K24" i="2"/>
  <c r="J24" i="2"/>
  <c r="K23" i="2" a="1"/>
  <c r="K23" i="2"/>
  <c r="J23" i="2"/>
  <c r="K22" i="2" a="1"/>
  <c r="K22" i="2" s="1"/>
  <c r="J22" i="2"/>
  <c r="K21" i="2" a="1"/>
  <c r="K21" i="2"/>
  <c r="J21" i="2"/>
  <c r="K20" i="2" a="1"/>
  <c r="K20" i="2"/>
  <c r="J20" i="2"/>
  <c r="K19" i="2" a="1"/>
  <c r="K19" i="2"/>
  <c r="J19" i="2"/>
  <c r="K18" i="2" a="1"/>
  <c r="K18" i="2" s="1"/>
  <c r="J18" i="2"/>
  <c r="K17" i="2" a="1"/>
  <c r="K17" i="2"/>
  <c r="J17" i="2"/>
  <c r="K16" i="2" a="1"/>
  <c r="K16" i="2"/>
  <c r="J16" i="2"/>
  <c r="K15" i="2" a="1"/>
  <c r="K15" i="2"/>
  <c r="J15" i="2"/>
  <c r="K14" i="2" a="1"/>
  <c r="K14" i="2" s="1"/>
  <c r="J14" i="2"/>
  <c r="K13" i="2" a="1"/>
  <c r="K13" i="2"/>
  <c r="J13" i="2"/>
  <c r="K12" i="2" a="1"/>
  <c r="K12" i="2"/>
  <c r="J12" i="2"/>
  <c r="K11" i="2" a="1"/>
  <c r="K11" i="2"/>
  <c r="J11" i="2"/>
  <c r="K10" i="2" a="1"/>
  <c r="K10" i="2" s="1"/>
  <c r="J10" i="2"/>
  <c r="K9" i="2" a="1"/>
  <c r="K9" i="2"/>
  <c r="J9" i="2"/>
  <c r="K8" i="2" a="1"/>
  <c r="K8" i="2"/>
  <c r="J8" i="2"/>
  <c r="K7" i="2" a="1"/>
  <c r="K7" i="2"/>
  <c r="J7" i="2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</calcChain>
</file>

<file path=xl/sharedStrings.xml><?xml version="1.0" encoding="utf-8"?>
<sst xmlns="http://schemas.openxmlformats.org/spreadsheetml/2006/main" count="1038" uniqueCount="193">
  <si>
    <t>EMERSON UNIVERSITY MULTAN</t>
  </si>
  <si>
    <t>DEPARTMENT OF COMPUTING &amp; EMERGING TECHNOLOGIES</t>
  </si>
  <si>
    <t>SEMESTER RESULT</t>
  </si>
  <si>
    <t>Programme: BS Cyber Security     Session: 2023-27     SEMESTER 1 EVENING</t>
  </si>
  <si>
    <t>Sr#</t>
  </si>
  <si>
    <t>Roll #</t>
  </si>
  <si>
    <t>Name of Students</t>
  </si>
  <si>
    <t>CS-103</t>
  </si>
  <si>
    <t>IT-101</t>
  </si>
  <si>
    <t>EG-109</t>
  </si>
  <si>
    <t>COSC-1203</t>
  </si>
  <si>
    <t>IT-201</t>
  </si>
  <si>
    <t>MZ-111</t>
  </si>
  <si>
    <t>SGPA</t>
  </si>
  <si>
    <t>Remarks</t>
  </si>
  <si>
    <t>ECTE231122101</t>
  </si>
  <si>
    <t>Muhammad Shahzaib</t>
  </si>
  <si>
    <t>Promoted</t>
  </si>
  <si>
    <t>ECTE231122102</t>
  </si>
  <si>
    <t>Misbah Bibi</t>
  </si>
  <si>
    <t>ECTE231122103</t>
  </si>
  <si>
    <t>Romaisa Khan</t>
  </si>
  <si>
    <t>ECTE231122104</t>
  </si>
  <si>
    <t>Javed Iqbal</t>
  </si>
  <si>
    <t>ECTE231122105</t>
  </si>
  <si>
    <t>Muhammad Toheed Sahar</t>
  </si>
  <si>
    <t>ECTE231122106</t>
  </si>
  <si>
    <t>Muhammad Sanawar Ali</t>
  </si>
  <si>
    <t>ECTE231122107</t>
  </si>
  <si>
    <t>Hira Zafar</t>
  </si>
  <si>
    <t>ECTE231122108</t>
  </si>
  <si>
    <t>Muhammad Naveed</t>
  </si>
  <si>
    <t>Probation</t>
  </si>
  <si>
    <t>ECTE231122109</t>
  </si>
  <si>
    <t>Hamna Iqbal</t>
  </si>
  <si>
    <t>ECTE231122110</t>
  </si>
  <si>
    <t>Khansa Aamir</t>
  </si>
  <si>
    <t>ECTE231122111</t>
  </si>
  <si>
    <t>Eman Razaq</t>
  </si>
  <si>
    <t>ECTE231122112</t>
  </si>
  <si>
    <t>Muhammad Basit</t>
  </si>
  <si>
    <t>ECTE231122113</t>
  </si>
  <si>
    <t>Muhammad Umer</t>
  </si>
  <si>
    <t>Dropped</t>
  </si>
  <si>
    <t>ECTE231122114</t>
  </si>
  <si>
    <t>Shahzaib Hassan</t>
  </si>
  <si>
    <t>ECTE231122115</t>
  </si>
  <si>
    <t>Allah Rakha</t>
  </si>
  <si>
    <t>ECTE231122116</t>
  </si>
  <si>
    <t>Khuzaima Khalil</t>
  </si>
  <si>
    <t>ECTE231122117</t>
  </si>
  <si>
    <t>Laiba</t>
  </si>
  <si>
    <t>ECTE231122118</t>
  </si>
  <si>
    <t>Allah Nawaz</t>
  </si>
  <si>
    <t>ECTE231122119</t>
  </si>
  <si>
    <t>Muhammad Talha Zaffar</t>
  </si>
  <si>
    <t>ECTE231122120</t>
  </si>
  <si>
    <t>Ghulam Hussain</t>
  </si>
  <si>
    <t>ECTE231122121</t>
  </si>
  <si>
    <t>Muhammad Zahid</t>
  </si>
  <si>
    <t>ECTE231122122</t>
  </si>
  <si>
    <t>Muhammad Rayyan</t>
  </si>
  <si>
    <t>ECTE231122123</t>
  </si>
  <si>
    <t>Muhammad Saad Habib</t>
  </si>
  <si>
    <t>ECTE231122124</t>
  </si>
  <si>
    <t>Muhammad Imran</t>
  </si>
  <si>
    <t>ECTE231122125</t>
  </si>
  <si>
    <t>Rashid Ali</t>
  </si>
  <si>
    <t>ECTE231122126</t>
  </si>
  <si>
    <t>Muhammad Adnan Ali</t>
  </si>
  <si>
    <t>ECTE231122127</t>
  </si>
  <si>
    <t>Muhammad Sameer Abbasi</t>
  </si>
  <si>
    <t>ECTE231122128</t>
  </si>
  <si>
    <t>Hafiz Matti Ur Rehman</t>
  </si>
  <si>
    <t>ECTE231122129</t>
  </si>
  <si>
    <t>Junaid Akram</t>
  </si>
  <si>
    <t>ECTE231122130</t>
  </si>
  <si>
    <t>Daneyal Maqsood</t>
  </si>
  <si>
    <t>ECTE231122131</t>
  </si>
  <si>
    <t>Sharjeel Saqib</t>
  </si>
  <si>
    <t>ECTE231122132</t>
  </si>
  <si>
    <t>Ayesha Nadeem</t>
  </si>
  <si>
    <t>ECTE231122133</t>
  </si>
  <si>
    <t>Muhammad Hannan Haider</t>
  </si>
  <si>
    <t>ECTE231122134</t>
  </si>
  <si>
    <t>Muneeb Ur Rehman</t>
  </si>
  <si>
    <t>ECTE231122135</t>
  </si>
  <si>
    <t>Hafiz Hamid Ali</t>
  </si>
  <si>
    <t>ECTE231122136</t>
  </si>
  <si>
    <t>Aurang Zaib</t>
  </si>
  <si>
    <t>ECTE231122137</t>
  </si>
  <si>
    <t>Muhammad Mursaleen</t>
  </si>
  <si>
    <t>ECTE231122138</t>
  </si>
  <si>
    <t>Mubeen Asghar</t>
  </si>
  <si>
    <t>ECTE231122139</t>
  </si>
  <si>
    <t>Abdullah Hamid</t>
  </si>
  <si>
    <t>ECTE231122140</t>
  </si>
  <si>
    <t>Badar Ahmad</t>
  </si>
  <si>
    <t>ECTE231122141</t>
  </si>
  <si>
    <t>Mehak Siddique</t>
  </si>
  <si>
    <t>ECTE231122142</t>
  </si>
  <si>
    <t>Muhammad Hussain Shahzad</t>
  </si>
  <si>
    <t>ECTE231122143</t>
  </si>
  <si>
    <t>Malik Shoaib Khan</t>
  </si>
  <si>
    <t>ECTE231122144</t>
  </si>
  <si>
    <t>Muhammad Shahzad Nazir</t>
  </si>
  <si>
    <t>ECTE231122145</t>
  </si>
  <si>
    <t>Muhammad Arif</t>
  </si>
  <si>
    <t>ECTE231122146</t>
  </si>
  <si>
    <t>Waleed Saleem</t>
  </si>
  <si>
    <t>ECTE231122147</t>
  </si>
  <si>
    <t>Muhammad Hamad Khalid</t>
  </si>
  <si>
    <t>ECTE231122148</t>
  </si>
  <si>
    <t>Asad Muneer</t>
  </si>
  <si>
    <t>ECTE231122149</t>
  </si>
  <si>
    <t>Muhammad Ameer Ul Hassan</t>
  </si>
  <si>
    <t>ECTE231122150</t>
  </si>
  <si>
    <t>Faizan Ali Chohan</t>
  </si>
  <si>
    <t>ECTE231122151</t>
  </si>
  <si>
    <t>Rabia Bibi</t>
  </si>
  <si>
    <t>ECTE231122152</t>
  </si>
  <si>
    <t>Muhammad Abdullah</t>
  </si>
  <si>
    <t>ECTE231122153</t>
  </si>
  <si>
    <t>Mahrukh Chodry</t>
  </si>
  <si>
    <t>ECTE231122154</t>
  </si>
  <si>
    <t>Shayan Ahmad</t>
  </si>
  <si>
    <t>ECTE231122155</t>
  </si>
  <si>
    <t>Muhammad Aftab</t>
  </si>
  <si>
    <t>ECTE231122156</t>
  </si>
  <si>
    <t>Usaid Iqbal</t>
  </si>
  <si>
    <t>Programme: BS Cyber Security     Session: 2023-27     SEMESTER 2 EVENING</t>
  </si>
  <si>
    <t>IT-102</t>
  </si>
  <si>
    <t>EG-105</t>
  </si>
  <si>
    <t>IT-207</t>
  </si>
  <si>
    <t>MT-108</t>
  </si>
  <si>
    <t>IT-301</t>
  </si>
  <si>
    <t>MZ-112</t>
  </si>
  <si>
    <t>CGPA</t>
  </si>
  <si>
    <t>Programme: BS Cyber Security     Session: 2023-27     SEMESTER 3 EVENING</t>
  </si>
  <si>
    <t>COSC-2106</t>
  </si>
  <si>
    <t>COSC-2206</t>
  </si>
  <si>
    <t>COSC-2111</t>
  </si>
  <si>
    <t>COSC-2211</t>
  </si>
  <si>
    <t>COSC-2116</t>
  </si>
  <si>
    <t>CYSE-2131</t>
  </si>
  <si>
    <t>CYSE-2231</t>
  </si>
  <si>
    <t>PHYS-1103</t>
  </si>
  <si>
    <t>PHYS-1203</t>
  </si>
  <si>
    <t>SOCI-2101</t>
  </si>
  <si>
    <t>POSC-1101</t>
  </si>
  <si>
    <t>Source: Official semester result PDFs supplied by the user. Data is transcribed as printed; provisional result, errors and omissions excepted.</t>
  </si>
  <si>
    <t>Programme: BS Cyber Security     Session: 2023-27     SEMESTER 4 EVENING</t>
  </si>
  <si>
    <t>COSC-2109</t>
  </si>
  <si>
    <t>COSC-2209</t>
  </si>
  <si>
    <t>COSC-2108</t>
  </si>
  <si>
    <t>COSC-2208</t>
  </si>
  <si>
    <t>COSC-2107</t>
  </si>
  <si>
    <t>COSC-2207</t>
  </si>
  <si>
    <t>BUAD-2101</t>
  </si>
  <si>
    <t>STAT-2101</t>
  </si>
  <si>
    <t>BUAD-1121</t>
  </si>
  <si>
    <t>ISST-1101</t>
  </si>
  <si>
    <t>Programme: BS Cyber Security     Session: 2023-27     SEMESTER 5 EVENING</t>
  </si>
  <si>
    <t>COSC-3112</t>
  </si>
  <si>
    <t>COSC-3212</t>
  </si>
  <si>
    <t>CYSE-3133</t>
  </si>
  <si>
    <t>CYSE-3233</t>
  </si>
  <si>
    <t>CYSE-3143</t>
  </si>
  <si>
    <t>CYSE-3243</t>
  </si>
  <si>
    <t>CYSE-3132</t>
  </si>
  <si>
    <t>CYSE-3232</t>
  </si>
  <si>
    <t>MATH-3182</t>
  </si>
  <si>
    <t>CYSE-3141</t>
  </si>
  <si>
    <t>ARAB-3101</t>
  </si>
  <si>
    <t>PCGPA</t>
  </si>
  <si>
    <t>Khanza Amir</t>
  </si>
  <si>
    <t>Muhammad Talha Zafar</t>
  </si>
  <si>
    <t>M Sameer Abbasi</t>
  </si>
  <si>
    <t>M. Hannan Haider</t>
  </si>
  <si>
    <t>M Hussain shahzad</t>
  </si>
  <si>
    <t>M. Hamad Khalid</t>
  </si>
  <si>
    <t>Faizan Ali Chohon</t>
  </si>
  <si>
    <t>Programme: BS Cyber Security     Session: 2023-27     SEMESTER 6 EVENING</t>
  </si>
  <si>
    <t>CYSE-3145</t>
  </si>
  <si>
    <t>CYSE-3245</t>
  </si>
  <si>
    <t>CYSE-3134</t>
  </si>
  <si>
    <t>CYSE-3234</t>
  </si>
  <si>
    <t>CYSE-3147</t>
  </si>
  <si>
    <t>CYSE-3247</t>
  </si>
  <si>
    <t>BUAD-2123</t>
  </si>
  <si>
    <t>MATH-3181</t>
  </si>
  <si>
    <t>ENGL-3184</t>
  </si>
  <si>
    <t>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</si>
</sst>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6"/>
      <color rgb="FFFFFFFF"/>
      <name val="Carlito"/>
    </font>
    <font>
      <sz val="11"/>
      <name val="Calibri"/>
    </font>
    <font>
      <b/>
      <sz val="11"/>
      <color rgb="FF1F1F1F"/>
      <name val="Carlito"/>
    </font>
    <font>
      <sz val="11"/>
      <color theme="1"/>
      <name val="Calibri"/>
    </font>
    <font>
      <b/>
      <sz val="11"/>
      <color rgb="FFFFFFFF"/>
      <name val="Carlito"/>
    </font>
    <font>
      <i/>
      <sz val="9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5B9BD5"/>
        <bgColor rgb="FF5B9BD5"/>
      </patternFill>
    </fill>
    <fill>
      <patternFill patternType="solid">
        <fgColor rgb="FFF2F2F2"/>
        <bgColor rgb="FFF2F2F2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4" xfId="0" applyFont="1" applyBorder="1"/>
    <xf numFmtId="0" fontId="5" fillId="4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0" xfId="0" applyNumberFormat="1" applyFont="1"/>
    <xf numFmtId="0" fontId="4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wrapText="1"/>
    </xf>
    <xf numFmtId="0" fontId="2" fillId="0" borderId="6" xfId="0" applyFont="1" applyBorder="1"/>
    <xf numFmtId="0" fontId="2" fillId="0" borderId="7" xfId="0" applyFont="1" applyBorder="1"/>
  </cellXfs>
  <cellStyles count="1">
    <cellStyle name="Normal" xfId="0" builtinId="0"/>
  </cellStyles>
  <dxfs count="18">
    <dxf>
      <font>
        <color rgb="FF274E13"/>
      </font>
      <fill>
        <patternFill patternType="solid">
          <fgColor rgb="FFD9EAD3"/>
          <bgColor rgb="FFD9EAD3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color rgb="FF274E13"/>
      </font>
      <fill>
        <patternFill patternType="solid">
          <fgColor rgb="FFD9EAD3"/>
          <bgColor rgb="FFD9EAD3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color rgb="FF274E13"/>
      </font>
      <fill>
        <patternFill patternType="solid">
          <fgColor rgb="FFD9EAD3"/>
          <bgColor rgb="FFD9EAD3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color rgb="FF274E13"/>
      </font>
      <fill>
        <patternFill patternType="solid">
          <fgColor rgb="FFD9EAD3"/>
          <bgColor rgb="FFD9EAD3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color rgb="FF274E13"/>
      </font>
      <fill>
        <patternFill patternType="solid">
          <fgColor rgb="FFD9EAD3"/>
          <bgColor rgb="FFD9EAD3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color rgb="FF274E13"/>
      </font>
      <fill>
        <patternFill patternType="solid">
          <fgColor rgb="FFD9EAD3"/>
          <bgColor rgb="FFD9EAD3"/>
        </patternFill>
      </fill>
    </dxf>
    <dxf>
      <font>
        <b/>
        <color rgb="FF9C65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00"/>
  <sheetViews>
    <sheetView workbookViewId="0">
      <selection sqref="A1:K1"/>
    </sheetView>
  </sheetViews>
  <sheetFormatPr defaultColWidth="14.44140625" defaultRowHeight="15" customHeight="1"/>
  <cols>
    <col min="1" max="1" width="4.33203125" customWidth="1"/>
    <col min="2" max="2" width="14.33203125" customWidth="1"/>
    <col min="3" max="3" width="25.44140625" customWidth="1"/>
    <col min="4" max="4" width="7.6640625" customWidth="1"/>
    <col min="5" max="5" width="6.6640625" customWidth="1"/>
    <col min="6" max="6" width="7.88671875" customWidth="1"/>
    <col min="7" max="7" width="11.88671875" customWidth="1"/>
    <col min="8" max="8" width="6.6640625" customWidth="1"/>
    <col min="9" max="9" width="7.6640625" customWidth="1"/>
    <col min="10" max="10" width="6.6640625" customWidth="1"/>
    <col min="11" max="11" width="9.6640625" customWidth="1"/>
    <col min="12" max="26" width="8.6640625" customWidth="1"/>
  </cols>
  <sheetData>
    <row r="1" spans="1:18" ht="20.2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8" ht="14.25" customHeight="1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8" ht="14.25" customHeight="1">
      <c r="A3" s="1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1"/>
    </row>
    <row r="4" spans="1:18" ht="14.25" customHeight="1">
      <c r="A4" s="12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8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8" ht="14.25" customHeight="1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3"/>
      <c r="M6" s="3"/>
      <c r="N6" s="3"/>
      <c r="O6" s="3"/>
      <c r="P6" s="3"/>
      <c r="Q6" s="3"/>
      <c r="R6" s="3"/>
    </row>
    <row r="7" spans="1:18" ht="14.25" customHeight="1">
      <c r="A7" s="4">
        <v>1</v>
      </c>
      <c r="B7" s="4" t="s">
        <v>15</v>
      </c>
      <c r="C7" s="5" t="s">
        <v>16</v>
      </c>
      <c r="D7" s="6">
        <v>4</v>
      </c>
      <c r="E7" s="6">
        <v>4</v>
      </c>
      <c r="F7" s="6">
        <v>3.9</v>
      </c>
      <c r="G7" s="6">
        <v>4</v>
      </c>
      <c r="H7" s="6">
        <v>4</v>
      </c>
      <c r="I7" s="6">
        <v>0</v>
      </c>
      <c r="J7" s="6">
        <f t="shared" ref="J7:J62" si="0">IF(B7="","",ROUND(SUMPRODUCT(D7:I7,{4,3,3,3,3,0})/16,2))</f>
        <v>3.98</v>
      </c>
      <c r="K7" s="4" t="s">
        <v>17</v>
      </c>
    </row>
    <row r="8" spans="1:18" ht="14.25" customHeight="1">
      <c r="A8" s="4">
        <v>2</v>
      </c>
      <c r="B8" s="4" t="s">
        <v>18</v>
      </c>
      <c r="C8" s="5" t="s">
        <v>19</v>
      </c>
      <c r="D8" s="6">
        <v>4</v>
      </c>
      <c r="E8" s="6">
        <v>4</v>
      </c>
      <c r="F8" s="6">
        <v>3.9</v>
      </c>
      <c r="G8" s="6">
        <v>4</v>
      </c>
      <c r="H8" s="6">
        <v>3.9</v>
      </c>
      <c r="I8" s="6">
        <v>3.7</v>
      </c>
      <c r="J8" s="6">
        <f t="shared" si="0"/>
        <v>3.96</v>
      </c>
      <c r="K8" s="4" t="s">
        <v>17</v>
      </c>
    </row>
    <row r="9" spans="1:18" ht="14.25" customHeight="1">
      <c r="A9" s="4">
        <v>3</v>
      </c>
      <c r="B9" s="4" t="s">
        <v>20</v>
      </c>
      <c r="C9" s="5" t="s">
        <v>21</v>
      </c>
      <c r="D9" s="6">
        <v>4</v>
      </c>
      <c r="E9" s="6">
        <v>4</v>
      </c>
      <c r="F9" s="6">
        <v>3.4</v>
      </c>
      <c r="G9" s="6">
        <v>4</v>
      </c>
      <c r="H9" s="6">
        <v>3.9</v>
      </c>
      <c r="I9" s="6">
        <v>0</v>
      </c>
      <c r="J9" s="6">
        <f t="shared" si="0"/>
        <v>3.87</v>
      </c>
      <c r="K9" s="4" t="s">
        <v>17</v>
      </c>
    </row>
    <row r="10" spans="1:18" ht="14.25" customHeight="1">
      <c r="A10" s="4">
        <v>4</v>
      </c>
      <c r="B10" s="4" t="s">
        <v>22</v>
      </c>
      <c r="C10" s="5" t="s">
        <v>23</v>
      </c>
      <c r="D10" s="6">
        <v>4</v>
      </c>
      <c r="E10" s="6">
        <v>3.9</v>
      </c>
      <c r="F10" s="6">
        <v>3.8</v>
      </c>
      <c r="G10" s="6">
        <v>4</v>
      </c>
      <c r="H10" s="6">
        <v>4</v>
      </c>
      <c r="I10" s="6">
        <v>4</v>
      </c>
      <c r="J10" s="6">
        <f t="shared" si="0"/>
        <v>3.94</v>
      </c>
      <c r="K10" s="4" t="s">
        <v>17</v>
      </c>
    </row>
    <row r="11" spans="1:18" ht="14.25" customHeight="1">
      <c r="A11" s="4">
        <v>5</v>
      </c>
      <c r="B11" s="4" t="s">
        <v>24</v>
      </c>
      <c r="C11" s="5" t="s">
        <v>25</v>
      </c>
      <c r="D11" s="6">
        <v>3</v>
      </c>
      <c r="E11" s="6">
        <v>3.5</v>
      </c>
      <c r="F11" s="6">
        <v>3.1</v>
      </c>
      <c r="G11" s="6">
        <v>2.2999999999999998</v>
      </c>
      <c r="H11" s="6">
        <v>3.8</v>
      </c>
      <c r="I11" s="6">
        <v>0</v>
      </c>
      <c r="J11" s="6">
        <f t="shared" si="0"/>
        <v>3.13</v>
      </c>
      <c r="K11" s="4" t="s">
        <v>17</v>
      </c>
    </row>
    <row r="12" spans="1:18" ht="14.25" customHeight="1">
      <c r="A12" s="4">
        <v>6</v>
      </c>
      <c r="B12" s="4" t="s">
        <v>26</v>
      </c>
      <c r="C12" s="5" t="s">
        <v>27</v>
      </c>
      <c r="D12" s="6">
        <v>3.7</v>
      </c>
      <c r="E12" s="6">
        <v>3.8</v>
      </c>
      <c r="F12" s="6">
        <v>2.9</v>
      </c>
      <c r="G12" s="6">
        <v>3.3</v>
      </c>
      <c r="H12" s="6">
        <v>3.6</v>
      </c>
      <c r="I12" s="6">
        <v>3.1</v>
      </c>
      <c r="J12" s="6">
        <f t="shared" si="0"/>
        <v>3.48</v>
      </c>
      <c r="K12" s="4" t="s">
        <v>17</v>
      </c>
    </row>
    <row r="13" spans="1:18" ht="14.25" customHeight="1">
      <c r="A13" s="4">
        <v>7</v>
      </c>
      <c r="B13" s="4" t="s">
        <v>28</v>
      </c>
      <c r="C13" s="5" t="s">
        <v>29</v>
      </c>
      <c r="D13" s="6">
        <v>4</v>
      </c>
      <c r="E13" s="6">
        <v>4</v>
      </c>
      <c r="F13" s="6">
        <v>4</v>
      </c>
      <c r="G13" s="6">
        <v>4</v>
      </c>
      <c r="H13" s="6">
        <v>4</v>
      </c>
      <c r="I13" s="6">
        <v>0</v>
      </c>
      <c r="J13" s="6">
        <f t="shared" si="0"/>
        <v>4</v>
      </c>
      <c r="K13" s="4" t="s">
        <v>17</v>
      </c>
    </row>
    <row r="14" spans="1:18" ht="14.25" customHeight="1">
      <c r="A14" s="4">
        <v>8</v>
      </c>
      <c r="B14" s="4" t="s">
        <v>30</v>
      </c>
      <c r="C14" s="5" t="s">
        <v>31</v>
      </c>
      <c r="D14" s="6">
        <v>2.2000000000000002</v>
      </c>
      <c r="E14" s="6">
        <v>2.5</v>
      </c>
      <c r="F14" s="6">
        <v>2.2000000000000002</v>
      </c>
      <c r="G14" s="6">
        <v>2</v>
      </c>
      <c r="H14" s="6">
        <v>0</v>
      </c>
      <c r="I14" s="6">
        <v>0</v>
      </c>
      <c r="J14" s="6">
        <f t="shared" si="0"/>
        <v>1.81</v>
      </c>
      <c r="K14" s="4" t="s">
        <v>32</v>
      </c>
    </row>
    <row r="15" spans="1:18" ht="14.25" customHeight="1">
      <c r="A15" s="4">
        <v>9</v>
      </c>
      <c r="B15" s="4" t="s">
        <v>33</v>
      </c>
      <c r="C15" s="5" t="s">
        <v>34</v>
      </c>
      <c r="D15" s="6">
        <v>3.6</v>
      </c>
      <c r="E15" s="6">
        <v>4</v>
      </c>
      <c r="F15" s="6">
        <v>3.3</v>
      </c>
      <c r="G15" s="6">
        <v>4</v>
      </c>
      <c r="H15" s="6">
        <v>3.7</v>
      </c>
      <c r="I15" s="6">
        <v>4</v>
      </c>
      <c r="J15" s="6">
        <f t="shared" si="0"/>
        <v>3.71</v>
      </c>
      <c r="K15" s="4" t="s">
        <v>17</v>
      </c>
    </row>
    <row r="16" spans="1:18" ht="14.25" customHeight="1">
      <c r="A16" s="4">
        <v>10</v>
      </c>
      <c r="B16" s="4" t="s">
        <v>35</v>
      </c>
      <c r="C16" s="5" t="s">
        <v>36</v>
      </c>
      <c r="D16" s="6">
        <v>4</v>
      </c>
      <c r="E16" s="6">
        <v>4</v>
      </c>
      <c r="F16" s="6">
        <v>3.5</v>
      </c>
      <c r="G16" s="6">
        <v>4</v>
      </c>
      <c r="H16" s="6">
        <v>4</v>
      </c>
      <c r="I16" s="6">
        <v>4</v>
      </c>
      <c r="J16" s="6">
        <f t="shared" si="0"/>
        <v>3.91</v>
      </c>
      <c r="K16" s="4" t="s">
        <v>17</v>
      </c>
    </row>
    <row r="17" spans="1:11" ht="14.25" customHeight="1">
      <c r="A17" s="4">
        <v>11</v>
      </c>
      <c r="B17" s="4" t="s">
        <v>37</v>
      </c>
      <c r="C17" s="5" t="s">
        <v>38</v>
      </c>
      <c r="D17" s="6">
        <v>3.9</v>
      </c>
      <c r="E17" s="6">
        <v>4</v>
      </c>
      <c r="F17" s="6">
        <v>2.2000000000000002</v>
      </c>
      <c r="G17" s="6">
        <v>4</v>
      </c>
      <c r="H17" s="6">
        <v>3.8</v>
      </c>
      <c r="I17" s="6">
        <v>0</v>
      </c>
      <c r="J17" s="6">
        <f t="shared" si="0"/>
        <v>3.6</v>
      </c>
      <c r="K17" s="4" t="s">
        <v>17</v>
      </c>
    </row>
    <row r="18" spans="1:11" ht="14.25" customHeight="1">
      <c r="A18" s="4">
        <v>12</v>
      </c>
      <c r="B18" s="4" t="s">
        <v>39</v>
      </c>
      <c r="C18" s="5" t="s">
        <v>40</v>
      </c>
      <c r="D18" s="6">
        <v>4</v>
      </c>
      <c r="E18" s="6">
        <v>4</v>
      </c>
      <c r="F18" s="6">
        <v>3.5</v>
      </c>
      <c r="G18" s="6">
        <v>4</v>
      </c>
      <c r="H18" s="6">
        <v>4</v>
      </c>
      <c r="I18" s="6">
        <v>0</v>
      </c>
      <c r="J18" s="6">
        <f t="shared" si="0"/>
        <v>3.91</v>
      </c>
      <c r="K18" s="4" t="s">
        <v>17</v>
      </c>
    </row>
    <row r="19" spans="1:11" ht="14.25" customHeight="1">
      <c r="A19" s="4">
        <v>13</v>
      </c>
      <c r="B19" s="4" t="s">
        <v>41</v>
      </c>
      <c r="C19" s="5" t="s">
        <v>42</v>
      </c>
      <c r="D19" s="6">
        <v>0</v>
      </c>
      <c r="E19" s="6">
        <v>2.1</v>
      </c>
      <c r="F19" s="6">
        <v>2.7</v>
      </c>
      <c r="G19" s="6">
        <v>0</v>
      </c>
      <c r="H19" s="6">
        <v>2.2999999999999998</v>
      </c>
      <c r="I19" s="6">
        <v>0</v>
      </c>
      <c r="J19" s="6">
        <f t="shared" si="0"/>
        <v>1.33</v>
      </c>
      <c r="K19" s="4" t="s">
        <v>43</v>
      </c>
    </row>
    <row r="20" spans="1:11" ht="14.25" customHeight="1">
      <c r="A20" s="4">
        <v>14</v>
      </c>
      <c r="B20" s="4" t="s">
        <v>44</v>
      </c>
      <c r="C20" s="5" t="s">
        <v>45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f t="shared" si="0"/>
        <v>0</v>
      </c>
      <c r="K20" s="4" t="s">
        <v>43</v>
      </c>
    </row>
    <row r="21" spans="1:11" ht="14.25" customHeight="1">
      <c r="A21" s="4">
        <v>15</v>
      </c>
      <c r="B21" s="4" t="s">
        <v>46</v>
      </c>
      <c r="C21" s="5" t="s">
        <v>47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f t="shared" si="0"/>
        <v>0</v>
      </c>
      <c r="K21" s="4" t="s">
        <v>43</v>
      </c>
    </row>
    <row r="22" spans="1:11" ht="14.25" customHeight="1">
      <c r="A22" s="4">
        <v>16</v>
      </c>
      <c r="B22" s="4" t="s">
        <v>48</v>
      </c>
      <c r="C22" s="5" t="s">
        <v>49</v>
      </c>
      <c r="D22" s="6">
        <v>3.7</v>
      </c>
      <c r="E22" s="6">
        <v>4</v>
      </c>
      <c r="F22" s="6">
        <v>2.8</v>
      </c>
      <c r="G22" s="6">
        <v>3.9</v>
      </c>
      <c r="H22" s="6">
        <v>3.5</v>
      </c>
      <c r="I22" s="6">
        <v>3.1</v>
      </c>
      <c r="J22" s="6">
        <f t="shared" si="0"/>
        <v>3.59</v>
      </c>
      <c r="K22" s="4" t="s">
        <v>17</v>
      </c>
    </row>
    <row r="23" spans="1:11" ht="14.25" customHeight="1">
      <c r="A23" s="4">
        <v>17</v>
      </c>
      <c r="B23" s="4" t="s">
        <v>50</v>
      </c>
      <c r="C23" s="5" t="s">
        <v>51</v>
      </c>
      <c r="D23" s="6">
        <v>4</v>
      </c>
      <c r="E23" s="6">
        <v>4</v>
      </c>
      <c r="F23" s="6">
        <v>4</v>
      </c>
      <c r="G23" s="6">
        <v>4</v>
      </c>
      <c r="H23" s="6">
        <v>4</v>
      </c>
      <c r="I23" s="6">
        <v>0</v>
      </c>
      <c r="J23" s="6">
        <f t="shared" si="0"/>
        <v>4</v>
      </c>
      <c r="K23" s="4" t="s">
        <v>17</v>
      </c>
    </row>
    <row r="24" spans="1:11" ht="14.25" customHeight="1">
      <c r="A24" s="4">
        <v>18</v>
      </c>
      <c r="B24" s="4" t="s">
        <v>52</v>
      </c>
      <c r="C24" s="5" t="s">
        <v>53</v>
      </c>
      <c r="D24" s="6">
        <v>3.4</v>
      </c>
      <c r="E24" s="6">
        <v>4</v>
      </c>
      <c r="F24" s="6">
        <v>3.3</v>
      </c>
      <c r="G24" s="6">
        <v>3.3</v>
      </c>
      <c r="H24" s="6">
        <v>3.1</v>
      </c>
      <c r="I24" s="6">
        <v>3.3</v>
      </c>
      <c r="J24" s="6">
        <f t="shared" si="0"/>
        <v>3.42</v>
      </c>
      <c r="K24" s="4" t="s">
        <v>17</v>
      </c>
    </row>
    <row r="25" spans="1:11" ht="14.25" customHeight="1">
      <c r="A25" s="4">
        <v>19</v>
      </c>
      <c r="B25" s="4" t="s">
        <v>54</v>
      </c>
      <c r="C25" s="5" t="s">
        <v>55</v>
      </c>
      <c r="D25" s="6">
        <v>4</v>
      </c>
      <c r="E25" s="6">
        <v>4</v>
      </c>
      <c r="F25" s="6">
        <v>3.3</v>
      </c>
      <c r="G25" s="6">
        <v>2.9</v>
      </c>
      <c r="H25" s="6">
        <v>3.7</v>
      </c>
      <c r="I25" s="6">
        <v>0</v>
      </c>
      <c r="J25" s="6">
        <f t="shared" si="0"/>
        <v>3.61</v>
      </c>
      <c r="K25" s="4" t="s">
        <v>17</v>
      </c>
    </row>
    <row r="26" spans="1:11" ht="14.25" customHeight="1">
      <c r="A26" s="4">
        <v>20</v>
      </c>
      <c r="B26" s="4" t="s">
        <v>56</v>
      </c>
      <c r="C26" s="5" t="s">
        <v>57</v>
      </c>
      <c r="D26" s="6">
        <v>3.8</v>
      </c>
      <c r="E26" s="6">
        <v>4</v>
      </c>
      <c r="F26" s="6">
        <v>3.1</v>
      </c>
      <c r="G26" s="6">
        <v>3.2</v>
      </c>
      <c r="H26" s="6">
        <v>2.7</v>
      </c>
      <c r="I26" s="6">
        <v>4</v>
      </c>
      <c r="J26" s="6">
        <f t="shared" si="0"/>
        <v>3.39</v>
      </c>
      <c r="K26" s="4" t="s">
        <v>17</v>
      </c>
    </row>
    <row r="27" spans="1:11" ht="14.25" customHeight="1">
      <c r="A27" s="4">
        <v>21</v>
      </c>
      <c r="B27" s="4" t="s">
        <v>58</v>
      </c>
      <c r="C27" s="5" t="s">
        <v>59</v>
      </c>
      <c r="D27" s="6">
        <v>4</v>
      </c>
      <c r="E27" s="6">
        <v>4</v>
      </c>
      <c r="F27" s="6">
        <v>3</v>
      </c>
      <c r="G27" s="6">
        <v>4</v>
      </c>
      <c r="H27" s="6">
        <v>3.3</v>
      </c>
      <c r="I27" s="6">
        <v>0</v>
      </c>
      <c r="J27" s="6">
        <f t="shared" si="0"/>
        <v>3.68</v>
      </c>
      <c r="K27" s="4" t="s">
        <v>17</v>
      </c>
    </row>
    <row r="28" spans="1:11" ht="14.25" customHeight="1">
      <c r="A28" s="4">
        <v>22</v>
      </c>
      <c r="B28" s="4" t="s">
        <v>60</v>
      </c>
      <c r="C28" s="5" t="s">
        <v>61</v>
      </c>
      <c r="D28" s="6">
        <v>4</v>
      </c>
      <c r="E28" s="6">
        <v>4</v>
      </c>
      <c r="F28" s="6">
        <v>3.6</v>
      </c>
      <c r="G28" s="6">
        <v>3.4</v>
      </c>
      <c r="H28" s="6">
        <v>3.9</v>
      </c>
      <c r="I28" s="6">
        <v>0</v>
      </c>
      <c r="J28" s="6">
        <f t="shared" si="0"/>
        <v>3.79</v>
      </c>
      <c r="K28" s="4" t="s">
        <v>17</v>
      </c>
    </row>
    <row r="29" spans="1:11" ht="14.25" customHeight="1">
      <c r="A29" s="4">
        <v>23</v>
      </c>
      <c r="B29" s="4" t="s">
        <v>62</v>
      </c>
      <c r="C29" s="5" t="s">
        <v>63</v>
      </c>
      <c r="D29" s="6">
        <v>3.7</v>
      </c>
      <c r="E29" s="6">
        <v>4</v>
      </c>
      <c r="F29" s="6">
        <v>3.9</v>
      </c>
      <c r="G29" s="6">
        <v>3.5</v>
      </c>
      <c r="H29" s="6">
        <v>3.2</v>
      </c>
      <c r="I29" s="6">
        <v>0</v>
      </c>
      <c r="J29" s="6">
        <f t="shared" si="0"/>
        <v>3.66</v>
      </c>
      <c r="K29" s="4" t="s">
        <v>17</v>
      </c>
    </row>
    <row r="30" spans="1:11" ht="14.25" customHeight="1">
      <c r="A30" s="4">
        <v>24</v>
      </c>
      <c r="B30" s="4" t="s">
        <v>64</v>
      </c>
      <c r="C30" s="5" t="s">
        <v>65</v>
      </c>
      <c r="D30" s="6">
        <v>4</v>
      </c>
      <c r="E30" s="6">
        <v>4</v>
      </c>
      <c r="F30" s="6">
        <v>3.1</v>
      </c>
      <c r="G30" s="6">
        <v>3.5</v>
      </c>
      <c r="H30" s="6">
        <v>3.5</v>
      </c>
      <c r="I30" s="6">
        <v>0</v>
      </c>
      <c r="J30" s="6">
        <f t="shared" si="0"/>
        <v>3.64</v>
      </c>
      <c r="K30" s="4" t="s">
        <v>17</v>
      </c>
    </row>
    <row r="31" spans="1:11" ht="14.25" customHeight="1">
      <c r="A31" s="4">
        <v>25</v>
      </c>
      <c r="B31" s="4" t="s">
        <v>66</v>
      </c>
      <c r="C31" s="5" t="s">
        <v>67</v>
      </c>
      <c r="D31" s="6">
        <v>3.4</v>
      </c>
      <c r="E31" s="6">
        <v>4</v>
      </c>
      <c r="F31" s="6">
        <v>2.9</v>
      </c>
      <c r="G31" s="6">
        <v>4</v>
      </c>
      <c r="H31" s="6">
        <v>2.5</v>
      </c>
      <c r="I31" s="6">
        <v>3.3</v>
      </c>
      <c r="J31" s="6">
        <f t="shared" si="0"/>
        <v>3.36</v>
      </c>
      <c r="K31" s="4" t="s">
        <v>17</v>
      </c>
    </row>
    <row r="32" spans="1:11" ht="14.25" customHeight="1">
      <c r="A32" s="4">
        <v>26</v>
      </c>
      <c r="B32" s="4" t="s">
        <v>68</v>
      </c>
      <c r="C32" s="5" t="s">
        <v>69</v>
      </c>
      <c r="D32" s="6">
        <v>3.7</v>
      </c>
      <c r="E32" s="6">
        <v>4</v>
      </c>
      <c r="F32" s="6">
        <v>2.9</v>
      </c>
      <c r="G32" s="6">
        <v>3.3</v>
      </c>
      <c r="H32" s="6">
        <v>3.5</v>
      </c>
      <c r="I32" s="6">
        <v>3.3</v>
      </c>
      <c r="J32" s="6">
        <f t="shared" si="0"/>
        <v>3.49</v>
      </c>
      <c r="K32" s="4" t="s">
        <v>17</v>
      </c>
    </row>
    <row r="33" spans="1:11" ht="14.25" customHeight="1">
      <c r="A33" s="4">
        <v>27</v>
      </c>
      <c r="B33" s="4" t="s">
        <v>70</v>
      </c>
      <c r="C33" s="5" t="s">
        <v>71</v>
      </c>
      <c r="D33" s="6">
        <v>3.7</v>
      </c>
      <c r="E33" s="6">
        <v>3.5</v>
      </c>
      <c r="F33" s="6">
        <v>3.1</v>
      </c>
      <c r="G33" s="6">
        <v>3.1</v>
      </c>
      <c r="H33" s="6">
        <v>2.5</v>
      </c>
      <c r="I33" s="6">
        <v>0</v>
      </c>
      <c r="J33" s="6">
        <f t="shared" si="0"/>
        <v>3.21</v>
      </c>
      <c r="K33" s="4" t="s">
        <v>17</v>
      </c>
    </row>
    <row r="34" spans="1:11" ht="14.25" customHeight="1">
      <c r="A34" s="4">
        <v>28</v>
      </c>
      <c r="B34" s="4" t="s">
        <v>72</v>
      </c>
      <c r="C34" s="5" t="s">
        <v>73</v>
      </c>
      <c r="D34" s="6">
        <v>4</v>
      </c>
      <c r="E34" s="6">
        <v>4</v>
      </c>
      <c r="F34" s="6">
        <v>3.9</v>
      </c>
      <c r="G34" s="6">
        <v>4</v>
      </c>
      <c r="H34" s="6">
        <v>3.9</v>
      </c>
      <c r="I34" s="6">
        <v>0</v>
      </c>
      <c r="J34" s="6">
        <f t="shared" si="0"/>
        <v>3.96</v>
      </c>
      <c r="K34" s="4" t="s">
        <v>17</v>
      </c>
    </row>
    <row r="35" spans="1:11" ht="14.25" customHeight="1">
      <c r="A35" s="4">
        <v>29</v>
      </c>
      <c r="B35" s="4" t="s">
        <v>74</v>
      </c>
      <c r="C35" s="5" t="s">
        <v>75</v>
      </c>
      <c r="D35" s="6">
        <v>4</v>
      </c>
      <c r="E35" s="6">
        <v>4</v>
      </c>
      <c r="F35" s="6">
        <v>3.2</v>
      </c>
      <c r="G35" s="6">
        <v>3.9</v>
      </c>
      <c r="H35" s="6">
        <v>3.3</v>
      </c>
      <c r="I35" s="6">
        <v>0</v>
      </c>
      <c r="J35" s="6">
        <f t="shared" si="0"/>
        <v>3.7</v>
      </c>
      <c r="K35" s="4" t="s">
        <v>17</v>
      </c>
    </row>
    <row r="36" spans="1:11" ht="14.25" customHeight="1">
      <c r="A36" s="4">
        <v>30</v>
      </c>
      <c r="B36" s="4" t="s">
        <v>76</v>
      </c>
      <c r="C36" s="5" t="s">
        <v>77</v>
      </c>
      <c r="D36" s="6">
        <v>3.5</v>
      </c>
      <c r="E36" s="6">
        <v>3.8</v>
      </c>
      <c r="F36" s="6">
        <v>2.9</v>
      </c>
      <c r="G36" s="6">
        <v>2.7</v>
      </c>
      <c r="H36" s="6">
        <v>0</v>
      </c>
      <c r="I36" s="6">
        <v>0</v>
      </c>
      <c r="J36" s="6">
        <f t="shared" si="0"/>
        <v>2.64</v>
      </c>
      <c r="K36" s="4" t="s">
        <v>17</v>
      </c>
    </row>
    <row r="37" spans="1:11" ht="14.25" customHeight="1">
      <c r="A37" s="4">
        <v>31</v>
      </c>
      <c r="B37" s="4" t="s">
        <v>78</v>
      </c>
      <c r="C37" s="5" t="s">
        <v>79</v>
      </c>
      <c r="D37" s="6">
        <v>4</v>
      </c>
      <c r="E37" s="6">
        <v>4</v>
      </c>
      <c r="F37" s="6">
        <v>4</v>
      </c>
      <c r="G37" s="6">
        <v>4</v>
      </c>
      <c r="H37" s="6">
        <v>4</v>
      </c>
      <c r="I37" s="6">
        <v>0</v>
      </c>
      <c r="J37" s="6">
        <f t="shared" si="0"/>
        <v>4</v>
      </c>
      <c r="K37" s="4" t="s">
        <v>17</v>
      </c>
    </row>
    <row r="38" spans="1:11" ht="14.25" customHeight="1">
      <c r="A38" s="4">
        <v>32</v>
      </c>
      <c r="B38" s="4" t="s">
        <v>80</v>
      </c>
      <c r="C38" s="5" t="s">
        <v>81</v>
      </c>
      <c r="D38" s="6">
        <v>4</v>
      </c>
      <c r="E38" s="6">
        <v>4</v>
      </c>
      <c r="F38" s="6">
        <v>3.6</v>
      </c>
      <c r="G38" s="6">
        <v>4</v>
      </c>
      <c r="H38" s="6">
        <v>3.9</v>
      </c>
      <c r="I38" s="6">
        <v>3.7</v>
      </c>
      <c r="J38" s="6">
        <f t="shared" si="0"/>
        <v>3.91</v>
      </c>
      <c r="K38" s="4" t="s">
        <v>17</v>
      </c>
    </row>
    <row r="39" spans="1:11" ht="14.25" customHeight="1">
      <c r="A39" s="4">
        <v>33</v>
      </c>
      <c r="B39" s="4" t="s">
        <v>82</v>
      </c>
      <c r="C39" s="5" t="s">
        <v>83</v>
      </c>
      <c r="D39" s="6">
        <v>3.5</v>
      </c>
      <c r="E39" s="6">
        <v>4</v>
      </c>
      <c r="F39" s="6">
        <v>3.9</v>
      </c>
      <c r="G39" s="6">
        <v>3.5</v>
      </c>
      <c r="H39" s="6">
        <v>4</v>
      </c>
      <c r="I39" s="6">
        <v>3.3</v>
      </c>
      <c r="J39" s="6">
        <f t="shared" si="0"/>
        <v>3.76</v>
      </c>
      <c r="K39" s="4" t="s">
        <v>17</v>
      </c>
    </row>
    <row r="40" spans="1:11" ht="14.25" customHeight="1">
      <c r="A40" s="4">
        <v>34</v>
      </c>
      <c r="B40" s="4" t="s">
        <v>84</v>
      </c>
      <c r="C40" s="5" t="s">
        <v>85</v>
      </c>
      <c r="D40" s="6">
        <v>4</v>
      </c>
      <c r="E40" s="6">
        <v>4</v>
      </c>
      <c r="F40" s="6">
        <v>4</v>
      </c>
      <c r="G40" s="6">
        <v>4</v>
      </c>
      <c r="H40" s="6">
        <v>4</v>
      </c>
      <c r="I40" s="6">
        <v>4</v>
      </c>
      <c r="J40" s="6">
        <f t="shared" si="0"/>
        <v>4</v>
      </c>
      <c r="K40" s="4" t="s">
        <v>17</v>
      </c>
    </row>
    <row r="41" spans="1:11" ht="14.25" customHeight="1">
      <c r="A41" s="4">
        <v>35</v>
      </c>
      <c r="B41" s="4" t="s">
        <v>86</v>
      </c>
      <c r="C41" s="5" t="s">
        <v>87</v>
      </c>
      <c r="D41" s="6">
        <v>3.8</v>
      </c>
      <c r="E41" s="6">
        <v>4</v>
      </c>
      <c r="F41" s="6">
        <v>2.5</v>
      </c>
      <c r="G41" s="6">
        <v>3.7</v>
      </c>
      <c r="H41" s="6">
        <v>2.1</v>
      </c>
      <c r="I41" s="6">
        <v>2.7</v>
      </c>
      <c r="J41" s="6">
        <f t="shared" si="0"/>
        <v>3.26</v>
      </c>
      <c r="K41" s="4" t="s">
        <v>17</v>
      </c>
    </row>
    <row r="42" spans="1:11" ht="14.25" customHeight="1">
      <c r="A42" s="4">
        <v>36</v>
      </c>
      <c r="B42" s="4" t="s">
        <v>88</v>
      </c>
      <c r="C42" s="5" t="s">
        <v>89</v>
      </c>
      <c r="D42" s="6">
        <v>4</v>
      </c>
      <c r="E42" s="6">
        <v>4</v>
      </c>
      <c r="F42" s="6">
        <v>2.9</v>
      </c>
      <c r="G42" s="6">
        <v>2.2999999999999998</v>
      </c>
      <c r="H42" s="6">
        <v>2.5</v>
      </c>
      <c r="I42" s="6">
        <v>0</v>
      </c>
      <c r="J42" s="6">
        <f t="shared" si="0"/>
        <v>3.19</v>
      </c>
      <c r="K42" s="4" t="s">
        <v>17</v>
      </c>
    </row>
    <row r="43" spans="1:11" ht="14.25" customHeight="1">
      <c r="A43" s="4">
        <v>37</v>
      </c>
      <c r="B43" s="4" t="s">
        <v>90</v>
      </c>
      <c r="C43" s="5" t="s">
        <v>91</v>
      </c>
      <c r="D43" s="6">
        <v>4</v>
      </c>
      <c r="E43" s="6">
        <v>4</v>
      </c>
      <c r="F43" s="6">
        <v>3.1</v>
      </c>
      <c r="G43" s="6">
        <v>3.7</v>
      </c>
      <c r="H43" s="6">
        <v>3.7</v>
      </c>
      <c r="I43" s="6">
        <v>0</v>
      </c>
      <c r="J43" s="6">
        <f t="shared" si="0"/>
        <v>3.72</v>
      </c>
      <c r="K43" s="4" t="s">
        <v>17</v>
      </c>
    </row>
    <row r="44" spans="1:11" ht="14.25" customHeight="1">
      <c r="A44" s="4">
        <v>38</v>
      </c>
      <c r="B44" s="4" t="s">
        <v>92</v>
      </c>
      <c r="C44" s="5" t="s">
        <v>93</v>
      </c>
      <c r="D44" s="6">
        <v>3.1</v>
      </c>
      <c r="E44" s="6">
        <v>3.8</v>
      </c>
      <c r="F44" s="6">
        <v>2.8</v>
      </c>
      <c r="G44" s="6">
        <v>2.2000000000000002</v>
      </c>
      <c r="H44" s="6">
        <v>2.8</v>
      </c>
      <c r="I44" s="6">
        <v>0</v>
      </c>
      <c r="J44" s="6">
        <f t="shared" si="0"/>
        <v>2.95</v>
      </c>
      <c r="K44" s="4" t="s">
        <v>17</v>
      </c>
    </row>
    <row r="45" spans="1:11" ht="14.25" customHeight="1">
      <c r="A45" s="4">
        <v>39</v>
      </c>
      <c r="B45" s="4" t="s">
        <v>94</v>
      </c>
      <c r="C45" s="5" t="s">
        <v>95</v>
      </c>
      <c r="D45" s="6">
        <v>3.9</v>
      </c>
      <c r="E45" s="6">
        <v>4</v>
      </c>
      <c r="F45" s="6">
        <v>3.2</v>
      </c>
      <c r="G45" s="6">
        <v>4</v>
      </c>
      <c r="H45" s="6">
        <v>2.8</v>
      </c>
      <c r="I45" s="6">
        <v>0</v>
      </c>
      <c r="J45" s="6">
        <f t="shared" si="0"/>
        <v>3.6</v>
      </c>
      <c r="K45" s="4" t="s">
        <v>17</v>
      </c>
    </row>
    <row r="46" spans="1:11" ht="14.25" customHeight="1">
      <c r="A46" s="4">
        <v>40</v>
      </c>
      <c r="B46" s="4" t="s">
        <v>96</v>
      </c>
      <c r="C46" s="5" t="s">
        <v>97</v>
      </c>
      <c r="D46" s="6">
        <v>3.5</v>
      </c>
      <c r="E46" s="6">
        <v>4</v>
      </c>
      <c r="F46" s="6">
        <v>3.3</v>
      </c>
      <c r="G46" s="6">
        <v>3.5</v>
      </c>
      <c r="H46" s="6">
        <v>3.6</v>
      </c>
      <c r="I46" s="6">
        <v>2.7</v>
      </c>
      <c r="J46" s="6">
        <f t="shared" si="0"/>
        <v>3.58</v>
      </c>
      <c r="K46" s="4" t="s">
        <v>17</v>
      </c>
    </row>
    <row r="47" spans="1:11" ht="14.25" customHeight="1">
      <c r="A47" s="4">
        <v>41</v>
      </c>
      <c r="B47" s="4" t="s">
        <v>98</v>
      </c>
      <c r="C47" s="5" t="s">
        <v>99</v>
      </c>
      <c r="D47" s="6">
        <v>4</v>
      </c>
      <c r="E47" s="6">
        <v>4</v>
      </c>
      <c r="F47" s="6">
        <v>3.7</v>
      </c>
      <c r="G47" s="6">
        <v>3.8</v>
      </c>
      <c r="H47" s="6">
        <v>3.7</v>
      </c>
      <c r="I47" s="6">
        <v>0</v>
      </c>
      <c r="J47" s="6">
        <f t="shared" si="0"/>
        <v>3.85</v>
      </c>
      <c r="K47" s="4" t="s">
        <v>17</v>
      </c>
    </row>
    <row r="48" spans="1:11" ht="14.25" customHeight="1">
      <c r="A48" s="4">
        <v>42</v>
      </c>
      <c r="B48" s="4" t="s">
        <v>100</v>
      </c>
      <c r="C48" s="5" t="s">
        <v>101</v>
      </c>
      <c r="D48" s="6">
        <v>4</v>
      </c>
      <c r="E48" s="6">
        <v>4</v>
      </c>
      <c r="F48" s="6">
        <v>3.5</v>
      </c>
      <c r="G48" s="6">
        <v>4</v>
      </c>
      <c r="H48" s="6">
        <v>3.6</v>
      </c>
      <c r="I48" s="6">
        <v>0</v>
      </c>
      <c r="J48" s="6">
        <f t="shared" si="0"/>
        <v>3.83</v>
      </c>
      <c r="K48" s="4" t="s">
        <v>17</v>
      </c>
    </row>
    <row r="49" spans="1:11" ht="14.25" customHeight="1">
      <c r="A49" s="4">
        <v>43</v>
      </c>
      <c r="B49" s="4" t="s">
        <v>102</v>
      </c>
      <c r="C49" s="5" t="s">
        <v>103</v>
      </c>
      <c r="D49" s="6">
        <v>4</v>
      </c>
      <c r="E49" s="6">
        <v>4</v>
      </c>
      <c r="F49" s="6">
        <v>3.5</v>
      </c>
      <c r="G49" s="6">
        <v>4</v>
      </c>
      <c r="H49" s="6">
        <v>3.1</v>
      </c>
      <c r="I49" s="6">
        <v>0</v>
      </c>
      <c r="J49" s="6">
        <f t="shared" si="0"/>
        <v>3.74</v>
      </c>
      <c r="K49" s="4" t="s">
        <v>17</v>
      </c>
    </row>
    <row r="50" spans="1:11" ht="14.25" customHeight="1">
      <c r="A50" s="4">
        <v>44</v>
      </c>
      <c r="B50" s="4" t="s">
        <v>104</v>
      </c>
      <c r="C50" s="5" t="s">
        <v>105</v>
      </c>
      <c r="D50" s="6">
        <v>3.3</v>
      </c>
      <c r="E50" s="6">
        <v>4</v>
      </c>
      <c r="F50" s="6">
        <v>3.4</v>
      </c>
      <c r="G50" s="6">
        <v>2.5</v>
      </c>
      <c r="H50" s="6">
        <v>2.5</v>
      </c>
      <c r="I50" s="6">
        <v>0</v>
      </c>
      <c r="J50" s="6">
        <f t="shared" si="0"/>
        <v>3.15</v>
      </c>
      <c r="K50" s="4" t="s">
        <v>17</v>
      </c>
    </row>
    <row r="51" spans="1:11" ht="14.25" customHeight="1">
      <c r="A51" s="4">
        <v>45</v>
      </c>
      <c r="B51" s="4" t="s">
        <v>106</v>
      </c>
      <c r="C51" s="5" t="s">
        <v>107</v>
      </c>
      <c r="D51" s="6">
        <v>3.4</v>
      </c>
      <c r="E51" s="6">
        <v>3.1</v>
      </c>
      <c r="F51" s="6">
        <v>3.6</v>
      </c>
      <c r="G51" s="6">
        <v>3.3</v>
      </c>
      <c r="H51" s="6">
        <v>3.5</v>
      </c>
      <c r="I51" s="6">
        <v>3</v>
      </c>
      <c r="J51" s="6">
        <f t="shared" si="0"/>
        <v>3.38</v>
      </c>
      <c r="K51" s="4" t="s">
        <v>17</v>
      </c>
    </row>
    <row r="52" spans="1:11" ht="14.25" customHeight="1">
      <c r="A52" s="4">
        <v>46</v>
      </c>
      <c r="B52" s="4" t="s">
        <v>108</v>
      </c>
      <c r="C52" s="5" t="s">
        <v>109</v>
      </c>
      <c r="D52" s="6">
        <v>3.5</v>
      </c>
      <c r="E52" s="6">
        <v>3.9</v>
      </c>
      <c r="F52" s="6">
        <v>3.3</v>
      </c>
      <c r="G52" s="6">
        <v>3.2</v>
      </c>
      <c r="H52" s="6">
        <v>3.1</v>
      </c>
      <c r="I52" s="6">
        <v>0</v>
      </c>
      <c r="J52" s="6">
        <f t="shared" si="0"/>
        <v>3.41</v>
      </c>
      <c r="K52" s="4" t="s">
        <v>17</v>
      </c>
    </row>
    <row r="53" spans="1:11" ht="14.25" customHeight="1">
      <c r="A53" s="4">
        <v>47</v>
      </c>
      <c r="B53" s="4" t="s">
        <v>110</v>
      </c>
      <c r="C53" s="5" t="s">
        <v>111</v>
      </c>
      <c r="D53" s="6">
        <v>4</v>
      </c>
      <c r="E53" s="6">
        <v>4</v>
      </c>
      <c r="F53" s="6">
        <v>2.7</v>
      </c>
      <c r="G53" s="6">
        <v>3.3</v>
      </c>
      <c r="H53" s="6">
        <v>3.3</v>
      </c>
      <c r="I53" s="6">
        <v>0</v>
      </c>
      <c r="J53" s="6">
        <f t="shared" si="0"/>
        <v>3.49</v>
      </c>
      <c r="K53" s="4" t="s">
        <v>17</v>
      </c>
    </row>
    <row r="54" spans="1:11" ht="14.25" customHeight="1">
      <c r="A54" s="4">
        <v>48</v>
      </c>
      <c r="B54" s="4" t="s">
        <v>112</v>
      </c>
      <c r="C54" s="5" t="s">
        <v>113</v>
      </c>
      <c r="D54" s="6">
        <v>4</v>
      </c>
      <c r="E54" s="6">
        <v>4</v>
      </c>
      <c r="F54" s="6">
        <v>2.7</v>
      </c>
      <c r="G54" s="6">
        <v>2.7</v>
      </c>
      <c r="H54" s="6">
        <v>3.1</v>
      </c>
      <c r="I54" s="6">
        <v>0</v>
      </c>
      <c r="J54" s="6">
        <f t="shared" si="0"/>
        <v>3.34</v>
      </c>
      <c r="K54" s="4" t="s">
        <v>17</v>
      </c>
    </row>
    <row r="55" spans="1:11" ht="14.25" customHeight="1">
      <c r="A55" s="4">
        <v>49</v>
      </c>
      <c r="B55" s="4" t="s">
        <v>114</v>
      </c>
      <c r="C55" s="5" t="s">
        <v>115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f t="shared" si="0"/>
        <v>0</v>
      </c>
      <c r="K55" s="4" t="s">
        <v>43</v>
      </c>
    </row>
    <row r="56" spans="1:11" ht="14.25" customHeight="1">
      <c r="A56" s="4">
        <v>50</v>
      </c>
      <c r="B56" s="4" t="s">
        <v>116</v>
      </c>
      <c r="C56" s="5" t="s">
        <v>117</v>
      </c>
      <c r="D56" s="6">
        <v>4</v>
      </c>
      <c r="E56" s="6">
        <v>4</v>
      </c>
      <c r="F56" s="6">
        <v>3.7</v>
      </c>
      <c r="G56" s="6">
        <v>3.9</v>
      </c>
      <c r="H56" s="6">
        <v>2.9</v>
      </c>
      <c r="I56" s="6">
        <v>3.7</v>
      </c>
      <c r="J56" s="6">
        <f t="shared" si="0"/>
        <v>3.72</v>
      </c>
      <c r="K56" s="4" t="s">
        <v>17</v>
      </c>
    </row>
    <row r="57" spans="1:11" ht="14.25" customHeight="1">
      <c r="A57" s="4">
        <v>51</v>
      </c>
      <c r="B57" s="4" t="s">
        <v>118</v>
      </c>
      <c r="C57" s="5" t="s">
        <v>119</v>
      </c>
      <c r="D57" s="6">
        <v>3.2</v>
      </c>
      <c r="E57" s="6">
        <v>4</v>
      </c>
      <c r="F57" s="6">
        <v>3.1</v>
      </c>
      <c r="G57" s="6">
        <v>3.5</v>
      </c>
      <c r="H57" s="6">
        <v>2.7</v>
      </c>
      <c r="I57" s="6">
        <v>3.7</v>
      </c>
      <c r="J57" s="6">
        <f t="shared" si="0"/>
        <v>3.29</v>
      </c>
      <c r="K57" s="4" t="s">
        <v>17</v>
      </c>
    </row>
    <row r="58" spans="1:11" ht="14.25" customHeight="1">
      <c r="A58" s="4">
        <v>52</v>
      </c>
      <c r="B58" s="4" t="s">
        <v>120</v>
      </c>
      <c r="C58" s="5" t="s">
        <v>121</v>
      </c>
      <c r="D58" s="6">
        <v>4</v>
      </c>
      <c r="E58" s="6">
        <v>4</v>
      </c>
      <c r="F58" s="6">
        <v>3.3</v>
      </c>
      <c r="G58" s="6">
        <v>4</v>
      </c>
      <c r="H58" s="6">
        <v>4</v>
      </c>
      <c r="I58" s="6">
        <v>0</v>
      </c>
      <c r="J58" s="6">
        <f t="shared" si="0"/>
        <v>3.87</v>
      </c>
      <c r="K58" s="4" t="s">
        <v>17</v>
      </c>
    </row>
    <row r="59" spans="1:11" ht="14.25" customHeight="1">
      <c r="A59" s="4">
        <v>53</v>
      </c>
      <c r="B59" s="4" t="s">
        <v>122</v>
      </c>
      <c r="C59" s="5" t="s">
        <v>123</v>
      </c>
      <c r="D59" s="6">
        <v>3.7</v>
      </c>
      <c r="E59" s="6">
        <v>4</v>
      </c>
      <c r="F59" s="6">
        <v>3.3</v>
      </c>
      <c r="G59" s="6">
        <v>4</v>
      </c>
      <c r="H59" s="6">
        <v>3.4</v>
      </c>
      <c r="I59" s="6">
        <v>3</v>
      </c>
      <c r="J59" s="6">
        <f t="shared" si="0"/>
        <v>3.68</v>
      </c>
      <c r="K59" s="4" t="s">
        <v>17</v>
      </c>
    </row>
    <row r="60" spans="1:11" ht="14.25" customHeight="1">
      <c r="A60" s="4">
        <v>54</v>
      </c>
      <c r="B60" s="4" t="s">
        <v>124</v>
      </c>
      <c r="C60" s="5" t="s">
        <v>125</v>
      </c>
      <c r="D60" s="6">
        <v>4</v>
      </c>
      <c r="E60" s="6">
        <v>4</v>
      </c>
      <c r="F60" s="6">
        <v>3.4</v>
      </c>
      <c r="G60" s="6">
        <v>4</v>
      </c>
      <c r="H60" s="6">
        <v>4</v>
      </c>
      <c r="I60" s="6">
        <v>0</v>
      </c>
      <c r="J60" s="6">
        <f t="shared" si="0"/>
        <v>3.89</v>
      </c>
      <c r="K60" s="4" t="s">
        <v>17</v>
      </c>
    </row>
    <row r="61" spans="1:11" ht="14.25" customHeight="1">
      <c r="A61" s="4">
        <v>55</v>
      </c>
      <c r="B61" s="4" t="s">
        <v>126</v>
      </c>
      <c r="C61" s="5" t="s">
        <v>127</v>
      </c>
      <c r="D61" s="6">
        <v>2.9</v>
      </c>
      <c r="E61" s="6">
        <v>4</v>
      </c>
      <c r="F61" s="6">
        <v>3.3</v>
      </c>
      <c r="G61" s="6">
        <v>2.5</v>
      </c>
      <c r="H61" s="6">
        <v>3.6</v>
      </c>
      <c r="I61" s="6">
        <v>0</v>
      </c>
      <c r="J61" s="6">
        <f t="shared" si="0"/>
        <v>3.24</v>
      </c>
      <c r="K61" s="4" t="s">
        <v>17</v>
      </c>
    </row>
    <row r="62" spans="1:11" ht="14.25" customHeight="1">
      <c r="A62" s="4">
        <v>56</v>
      </c>
      <c r="B62" s="4" t="s">
        <v>128</v>
      </c>
      <c r="C62" s="5" t="s">
        <v>129</v>
      </c>
      <c r="D62" s="6">
        <v>3.7</v>
      </c>
      <c r="E62" s="6">
        <v>4</v>
      </c>
      <c r="F62" s="6">
        <v>2.6</v>
      </c>
      <c r="G62" s="6">
        <v>2.7</v>
      </c>
      <c r="H62" s="6">
        <v>2.4</v>
      </c>
      <c r="I62" s="6">
        <v>0</v>
      </c>
      <c r="J62" s="6">
        <f t="shared" si="0"/>
        <v>3.12</v>
      </c>
      <c r="K62" s="4" t="s">
        <v>17</v>
      </c>
    </row>
    <row r="63" spans="1:11" ht="14.25" customHeight="1"/>
    <row r="64" spans="1:11" ht="24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5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K1"/>
    <mergeCell ref="A2:K2"/>
    <mergeCell ref="A3:K3"/>
    <mergeCell ref="A4:K4"/>
    <mergeCell ref="A64:K64"/>
  </mergeCells>
  <conditionalFormatting sqref="K7:K62">
    <cfRule type="expression" dxfId="17" priority="1">
      <formula>K7="Dropped"</formula>
    </cfRule>
    <cfRule type="expression" dxfId="16" priority="2">
      <formula>K7="Probation"</formula>
    </cfRule>
    <cfRule type="expression" dxfId="15" priority="3">
      <formula>K7="Promoted"</formula>
    </cfRule>
  </conditionalFormatting>
  <pageMargins left="0.7" right="0.7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000"/>
  <sheetViews>
    <sheetView workbookViewId="0"/>
  </sheetViews>
  <sheetFormatPr defaultColWidth="14.44140625" defaultRowHeight="15" customHeight="1"/>
  <cols>
    <col min="1" max="1" width="4.33203125" customWidth="1"/>
    <col min="2" max="2" width="17" customWidth="1"/>
    <col min="3" max="3" width="25.109375" customWidth="1"/>
    <col min="4" max="4" width="6.6640625" customWidth="1"/>
    <col min="5" max="5" width="7.88671875" customWidth="1"/>
    <col min="6" max="6" width="6.6640625" customWidth="1"/>
    <col min="7" max="7" width="7.88671875" customWidth="1"/>
    <col min="8" max="8" width="6.6640625" customWidth="1"/>
    <col min="9" max="9" width="7.6640625" customWidth="1"/>
    <col min="10" max="11" width="6.6640625" customWidth="1"/>
    <col min="12" max="12" width="9.6640625" customWidth="1"/>
    <col min="13" max="26" width="8.6640625" customWidth="1"/>
  </cols>
  <sheetData>
    <row r="1" spans="1:18" ht="20.2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1:18" ht="14.25" customHeight="1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8" ht="14.25" customHeight="1">
      <c r="A3" s="1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8" ht="14.25" customHeight="1">
      <c r="A4" s="12" t="s">
        <v>130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</row>
    <row r="5" spans="1:18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8" ht="14.25" customHeight="1">
      <c r="A6" s="2" t="s">
        <v>4</v>
      </c>
      <c r="B6" s="2" t="s">
        <v>5</v>
      </c>
      <c r="C6" s="2" t="s">
        <v>6</v>
      </c>
      <c r="D6" s="2" t="s">
        <v>131</v>
      </c>
      <c r="E6" s="2" t="s">
        <v>132</v>
      </c>
      <c r="F6" s="2" t="s">
        <v>133</v>
      </c>
      <c r="G6" s="2" t="s">
        <v>134</v>
      </c>
      <c r="H6" s="2" t="s">
        <v>135</v>
      </c>
      <c r="I6" s="2" t="s">
        <v>136</v>
      </c>
      <c r="J6" s="2" t="s">
        <v>13</v>
      </c>
      <c r="K6" s="2" t="s">
        <v>137</v>
      </c>
      <c r="L6" s="2" t="s">
        <v>14</v>
      </c>
      <c r="M6" s="3"/>
      <c r="N6" s="3"/>
      <c r="O6" s="3"/>
      <c r="P6" s="3"/>
      <c r="Q6" s="3"/>
      <c r="R6" s="3"/>
    </row>
    <row r="7" spans="1:18" ht="14.25" customHeight="1">
      <c r="A7" s="4">
        <v>1</v>
      </c>
      <c r="B7" s="4" t="s">
        <v>15</v>
      </c>
      <c r="C7" s="5" t="s">
        <v>16</v>
      </c>
      <c r="D7" s="6">
        <v>4</v>
      </c>
      <c r="E7" s="6">
        <v>3.9</v>
      </c>
      <c r="F7" s="6">
        <v>4</v>
      </c>
      <c r="G7" s="6">
        <v>2.6</v>
      </c>
      <c r="H7" s="6">
        <v>4</v>
      </c>
      <c r="I7" s="6">
        <v>0</v>
      </c>
      <c r="J7" s="6">
        <f t="shared" ref="J7:J62" si="0">IF(B7="","",ROUND(SUMPRODUCT(D7:I7,{4,3,3,3,4,0})/17,2))</f>
        <v>3.74</v>
      </c>
      <c r="K7" s="6">
        <f t="array" ref="K7">IF(B7="","",ROUND((SUMPRODUCT('Semester 1'!D7:I7,{4,3,3,3,3,0})+SUMPRODUCT(D7:I7,{4,3,3,3,4,0}))/33,2))</f>
        <v>3.85</v>
      </c>
      <c r="L7" s="4" t="s">
        <v>17</v>
      </c>
    </row>
    <row r="8" spans="1:18" ht="14.25" customHeight="1">
      <c r="A8" s="4">
        <v>2</v>
      </c>
      <c r="B8" s="4" t="s">
        <v>18</v>
      </c>
      <c r="C8" s="5" t="s">
        <v>19</v>
      </c>
      <c r="D8" s="6">
        <v>3.9</v>
      </c>
      <c r="E8" s="6">
        <v>3.7</v>
      </c>
      <c r="F8" s="6">
        <v>2.2999999999999998</v>
      </c>
      <c r="G8" s="6">
        <v>2.1</v>
      </c>
      <c r="H8" s="6">
        <v>4</v>
      </c>
      <c r="I8" s="6">
        <v>2.2999999999999998</v>
      </c>
      <c r="J8" s="6">
        <f t="shared" si="0"/>
        <v>3.29</v>
      </c>
      <c r="K8" s="6">
        <f t="array" ref="K8">IF(B8="","",ROUND((SUMPRODUCT('Semester 1'!D8:I8,{4,3,3,3,3,0})+SUMPRODUCT(D8:I8,{4,3,3,3,4,0}))/33,2))</f>
        <v>3.62</v>
      </c>
      <c r="L8" s="4" t="s">
        <v>17</v>
      </c>
    </row>
    <row r="9" spans="1:18" ht="14.25" customHeight="1">
      <c r="A9" s="4">
        <v>3</v>
      </c>
      <c r="B9" s="4" t="s">
        <v>20</v>
      </c>
      <c r="C9" s="5" t="s">
        <v>21</v>
      </c>
      <c r="D9" s="6">
        <v>3.9</v>
      </c>
      <c r="E9" s="6">
        <v>3.7</v>
      </c>
      <c r="F9" s="6">
        <v>2</v>
      </c>
      <c r="G9" s="6">
        <v>3</v>
      </c>
      <c r="H9" s="6">
        <v>4</v>
      </c>
      <c r="I9" s="6">
        <v>0</v>
      </c>
      <c r="J9" s="6">
        <f t="shared" si="0"/>
        <v>3.39</v>
      </c>
      <c r="K9" s="6">
        <f t="array" ref="K9">IF(B9="","",ROUND((SUMPRODUCT('Semester 1'!D9:I9,{4,3,3,3,3,0})+SUMPRODUCT(D9:I9,{4,3,3,3,4,0}))/33,2))</f>
        <v>3.62</v>
      </c>
      <c r="L9" s="4" t="s">
        <v>17</v>
      </c>
    </row>
    <row r="10" spans="1:18" ht="14.25" customHeight="1">
      <c r="A10" s="4">
        <v>4</v>
      </c>
      <c r="B10" s="4" t="s">
        <v>22</v>
      </c>
      <c r="C10" s="5" t="s">
        <v>23</v>
      </c>
      <c r="D10" s="6">
        <v>3.3</v>
      </c>
      <c r="E10" s="6">
        <v>2.9</v>
      </c>
      <c r="F10" s="6">
        <v>2.4</v>
      </c>
      <c r="G10" s="6">
        <v>2.1</v>
      </c>
      <c r="H10" s="6">
        <v>2.8</v>
      </c>
      <c r="I10" s="6">
        <v>2</v>
      </c>
      <c r="J10" s="6">
        <f t="shared" si="0"/>
        <v>2.74</v>
      </c>
      <c r="K10" s="6">
        <f t="array" ref="K10">IF(B10="","",ROUND((SUMPRODUCT('Semester 1'!D10:I10,{4,3,3,3,3,0})+SUMPRODUCT(D10:I10,{4,3,3,3,4,0}))/33,2))</f>
        <v>3.32</v>
      </c>
      <c r="L10" s="4" t="s">
        <v>17</v>
      </c>
    </row>
    <row r="11" spans="1:18" ht="14.25" customHeight="1">
      <c r="A11" s="4">
        <v>5</v>
      </c>
      <c r="B11" s="4" t="s">
        <v>24</v>
      </c>
      <c r="C11" s="5" t="s">
        <v>25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f t="shared" si="0"/>
        <v>0</v>
      </c>
      <c r="K11" s="6">
        <f t="array" ref="K11">IF(B11="","",ROUND((SUMPRODUCT('Semester 1'!D11:I11,{4,3,3,3,3,0})+SUMPRODUCT(D11:I11,{4,3,3,3,4,0}))/33,2))</f>
        <v>1.52</v>
      </c>
      <c r="L11" s="4" t="s">
        <v>43</v>
      </c>
    </row>
    <row r="12" spans="1:18" ht="14.25" customHeight="1">
      <c r="A12" s="4">
        <v>6</v>
      </c>
      <c r="B12" s="4" t="s">
        <v>26</v>
      </c>
      <c r="C12" s="5" t="s">
        <v>27</v>
      </c>
      <c r="D12" s="6">
        <v>3.7</v>
      </c>
      <c r="E12" s="6">
        <v>2.4</v>
      </c>
      <c r="F12" s="6">
        <v>2</v>
      </c>
      <c r="G12" s="6">
        <v>2</v>
      </c>
      <c r="H12" s="6">
        <v>3.6</v>
      </c>
      <c r="I12" s="6">
        <v>2.2999999999999998</v>
      </c>
      <c r="J12" s="6">
        <f t="shared" si="0"/>
        <v>2.85</v>
      </c>
      <c r="K12" s="6">
        <f t="array" ref="K12">IF(B12="","",ROUND((SUMPRODUCT('Semester 1'!D12:I12,{4,3,3,3,3,0})+SUMPRODUCT(D12:I12,{4,3,3,3,4,0}))/33,2))</f>
        <v>3.15</v>
      </c>
      <c r="L12" s="4" t="s">
        <v>17</v>
      </c>
    </row>
    <row r="13" spans="1:18" ht="14.25" customHeight="1">
      <c r="A13" s="4">
        <v>7</v>
      </c>
      <c r="B13" s="4" t="s">
        <v>28</v>
      </c>
      <c r="C13" s="5" t="s">
        <v>29</v>
      </c>
      <c r="D13" s="6">
        <v>3.8</v>
      </c>
      <c r="E13" s="6">
        <v>3.7</v>
      </c>
      <c r="F13" s="6">
        <v>3.3</v>
      </c>
      <c r="G13" s="6">
        <v>2.1</v>
      </c>
      <c r="H13" s="6">
        <v>3.7</v>
      </c>
      <c r="I13" s="6">
        <v>0</v>
      </c>
      <c r="J13" s="6">
        <f t="shared" si="0"/>
        <v>3.37</v>
      </c>
      <c r="K13" s="6">
        <f t="array" ref="K13">IF(B13="","",ROUND((SUMPRODUCT('Semester 1'!D13:I13,{4,3,3,3,3,0})+SUMPRODUCT(D13:I13,{4,3,3,3,4,0}))/33,2))</f>
        <v>3.68</v>
      </c>
      <c r="L13" s="4" t="s">
        <v>17</v>
      </c>
    </row>
    <row r="14" spans="1:18" ht="14.25" customHeight="1">
      <c r="A14" s="4">
        <v>8</v>
      </c>
      <c r="B14" s="4" t="s">
        <v>30</v>
      </c>
      <c r="C14" s="5" t="s">
        <v>31</v>
      </c>
      <c r="D14" s="6">
        <v>2.7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f t="shared" si="0"/>
        <v>0.64</v>
      </c>
      <c r="K14" s="6">
        <f t="array" ref="K14">IF(B14="","",ROUND((SUMPRODUCT('Semester 1'!D14:I14,{4,3,3,3,3,0})+SUMPRODUCT(D14:I14,{4,3,3,3,4,0}))/33,2))</f>
        <v>1.2</v>
      </c>
      <c r="L14" s="4" t="s">
        <v>43</v>
      </c>
    </row>
    <row r="15" spans="1:18" ht="14.25" customHeight="1">
      <c r="A15" s="4">
        <v>9</v>
      </c>
      <c r="B15" s="4" t="s">
        <v>33</v>
      </c>
      <c r="C15" s="5" t="s">
        <v>34</v>
      </c>
      <c r="D15" s="6">
        <v>3.2</v>
      </c>
      <c r="E15" s="6">
        <v>3.2</v>
      </c>
      <c r="F15" s="6">
        <v>2.7</v>
      </c>
      <c r="G15" s="6">
        <v>2.2999999999999998</v>
      </c>
      <c r="H15" s="6">
        <v>4</v>
      </c>
      <c r="I15" s="6">
        <v>3.3</v>
      </c>
      <c r="J15" s="6">
        <f t="shared" si="0"/>
        <v>3.14</v>
      </c>
      <c r="K15" s="6">
        <f t="array" ref="K15">IF(B15="","",ROUND((SUMPRODUCT('Semester 1'!D15:I15,{4,3,3,3,3,0})+SUMPRODUCT(D15:I15,{4,3,3,3,4,0}))/33,2))</f>
        <v>3.42</v>
      </c>
      <c r="L15" s="4" t="s">
        <v>17</v>
      </c>
    </row>
    <row r="16" spans="1:18" ht="14.25" customHeight="1">
      <c r="A16" s="4">
        <v>10</v>
      </c>
      <c r="B16" s="4" t="s">
        <v>35</v>
      </c>
      <c r="C16" s="5" t="s">
        <v>36</v>
      </c>
      <c r="D16" s="6">
        <v>3.4</v>
      </c>
      <c r="E16" s="6">
        <v>4</v>
      </c>
      <c r="F16" s="6">
        <v>3</v>
      </c>
      <c r="G16" s="6">
        <v>2.4</v>
      </c>
      <c r="H16" s="6">
        <v>4</v>
      </c>
      <c r="I16" s="6">
        <v>3.3</v>
      </c>
      <c r="J16" s="6">
        <f t="shared" si="0"/>
        <v>3.4</v>
      </c>
      <c r="K16" s="6">
        <f t="array" ref="K16">IF(B16="","",ROUND((SUMPRODUCT('Semester 1'!D16:I16,{4,3,3,3,3,0})+SUMPRODUCT(D16:I16,{4,3,3,3,4,0}))/33,2))</f>
        <v>3.65</v>
      </c>
      <c r="L16" s="4" t="s">
        <v>17</v>
      </c>
    </row>
    <row r="17" spans="1:12" ht="14.25" customHeight="1">
      <c r="A17" s="4">
        <v>11</v>
      </c>
      <c r="B17" s="4" t="s">
        <v>37</v>
      </c>
      <c r="C17" s="5" t="s">
        <v>38</v>
      </c>
      <c r="D17" s="6">
        <v>3.6</v>
      </c>
      <c r="E17" s="6">
        <v>3.9</v>
      </c>
      <c r="F17" s="6">
        <v>0</v>
      </c>
      <c r="G17" s="6">
        <v>2.6</v>
      </c>
      <c r="H17" s="6">
        <v>3.8</v>
      </c>
      <c r="I17" s="6">
        <v>0</v>
      </c>
      <c r="J17" s="6">
        <f t="shared" si="0"/>
        <v>2.89</v>
      </c>
      <c r="K17" s="6">
        <f t="array" ref="K17">IF(B17="","",ROUND((SUMPRODUCT('Semester 1'!D17:I17,{4,3,3,3,3,0})+SUMPRODUCT(D17:I17,{4,3,3,3,4,0}))/33,2))</f>
        <v>3.23</v>
      </c>
      <c r="L17" s="4" t="s">
        <v>17</v>
      </c>
    </row>
    <row r="18" spans="1:12" ht="14.25" customHeight="1">
      <c r="A18" s="4">
        <v>12</v>
      </c>
      <c r="B18" s="4" t="s">
        <v>39</v>
      </c>
      <c r="C18" s="5" t="s">
        <v>40</v>
      </c>
      <c r="D18" s="6">
        <v>3.5</v>
      </c>
      <c r="E18" s="6">
        <v>4</v>
      </c>
      <c r="F18" s="6">
        <v>4</v>
      </c>
      <c r="G18" s="6">
        <v>2.8</v>
      </c>
      <c r="H18" s="6">
        <v>3.8</v>
      </c>
      <c r="I18" s="6">
        <v>0</v>
      </c>
      <c r="J18" s="6">
        <f t="shared" si="0"/>
        <v>3.62</v>
      </c>
      <c r="K18" s="6">
        <f t="array" ref="K18">IF(B18="","",ROUND((SUMPRODUCT('Semester 1'!D18:I18,{4,3,3,3,3,0})+SUMPRODUCT(D18:I18,{4,3,3,3,4,0}))/33,2))</f>
        <v>3.76</v>
      </c>
      <c r="L18" s="4" t="s">
        <v>17</v>
      </c>
    </row>
    <row r="19" spans="1:12" ht="14.25" customHeight="1">
      <c r="A19" s="4">
        <v>13</v>
      </c>
      <c r="B19" s="4" t="s">
        <v>41</v>
      </c>
      <c r="C19" s="5" t="s">
        <v>42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f t="shared" si="0"/>
        <v>0</v>
      </c>
      <c r="K19" s="6">
        <f t="array" ref="K19">IF(B19="","",ROUND((SUMPRODUCT('Semester 1'!D19:I19,{4,3,3,3,3,0})+SUMPRODUCT(D19:I19,{4,3,3,3,4,0}))/33,2))</f>
        <v>0.65</v>
      </c>
      <c r="L19" s="4" t="s">
        <v>43</v>
      </c>
    </row>
    <row r="20" spans="1:12" ht="14.25" customHeight="1">
      <c r="A20" s="4">
        <v>14</v>
      </c>
      <c r="B20" s="4" t="s">
        <v>44</v>
      </c>
      <c r="C20" s="5" t="s">
        <v>45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f t="shared" si="0"/>
        <v>0</v>
      </c>
      <c r="K20" s="6">
        <f t="array" ref="K20">IF(B20="","",ROUND((SUMPRODUCT('Semester 1'!D20:I20,{4,3,3,3,3,0})+SUMPRODUCT(D20:I20,{4,3,3,3,4,0}))/33,2))</f>
        <v>0</v>
      </c>
      <c r="L20" s="4" t="s">
        <v>43</v>
      </c>
    </row>
    <row r="21" spans="1:12" ht="14.25" customHeight="1">
      <c r="A21" s="4">
        <v>15</v>
      </c>
      <c r="B21" s="4" t="s">
        <v>46</v>
      </c>
      <c r="C21" s="5" t="s">
        <v>47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f t="shared" si="0"/>
        <v>0</v>
      </c>
      <c r="K21" s="6">
        <f t="array" ref="K21">IF(B21="","",ROUND((SUMPRODUCT('Semester 1'!D21:I21,{4,3,3,3,3,0})+SUMPRODUCT(D21:I21,{4,3,3,3,4,0}))/33,2))</f>
        <v>0</v>
      </c>
      <c r="L21" s="4" t="s">
        <v>43</v>
      </c>
    </row>
    <row r="22" spans="1:12" ht="14.25" customHeight="1">
      <c r="A22" s="4">
        <v>16</v>
      </c>
      <c r="B22" s="4" t="s">
        <v>48</v>
      </c>
      <c r="C22" s="5" t="s">
        <v>49</v>
      </c>
      <c r="D22" s="6">
        <v>4</v>
      </c>
      <c r="E22" s="6">
        <v>3.9</v>
      </c>
      <c r="F22" s="6">
        <v>2</v>
      </c>
      <c r="G22" s="6">
        <v>3.2</v>
      </c>
      <c r="H22" s="6">
        <v>3.7</v>
      </c>
      <c r="I22" s="6">
        <v>2.2999999999999998</v>
      </c>
      <c r="J22" s="6">
        <f t="shared" si="0"/>
        <v>3.42</v>
      </c>
      <c r="K22" s="6">
        <f t="array" ref="K22">IF(B22="","",ROUND((SUMPRODUCT('Semester 1'!D22:I22,{4,3,3,3,3,0})+SUMPRODUCT(D22:I22,{4,3,3,3,4,0}))/33,2))</f>
        <v>3.5</v>
      </c>
      <c r="L22" s="4" t="s">
        <v>17</v>
      </c>
    </row>
    <row r="23" spans="1:12" ht="14.25" customHeight="1">
      <c r="A23" s="4">
        <v>17</v>
      </c>
      <c r="B23" s="4" t="s">
        <v>50</v>
      </c>
      <c r="C23" s="5" t="s">
        <v>51</v>
      </c>
      <c r="D23" s="6">
        <v>4</v>
      </c>
      <c r="E23" s="6">
        <v>4</v>
      </c>
      <c r="F23" s="6">
        <v>3.4</v>
      </c>
      <c r="G23" s="6">
        <v>2.1</v>
      </c>
      <c r="H23" s="6">
        <v>4</v>
      </c>
      <c r="I23" s="6">
        <v>0</v>
      </c>
      <c r="J23" s="6">
        <f t="shared" si="0"/>
        <v>3.56</v>
      </c>
      <c r="K23" s="6">
        <f t="array" ref="K23">IF(B23="","",ROUND((SUMPRODUCT('Semester 1'!D23:I23,{4,3,3,3,3,0})+SUMPRODUCT(D23:I23,{4,3,3,3,4,0}))/33,2))</f>
        <v>3.77</v>
      </c>
      <c r="L23" s="4" t="s">
        <v>17</v>
      </c>
    </row>
    <row r="24" spans="1:12" ht="14.25" customHeight="1">
      <c r="A24" s="4">
        <v>18</v>
      </c>
      <c r="B24" s="4" t="s">
        <v>52</v>
      </c>
      <c r="C24" s="5" t="s">
        <v>53</v>
      </c>
      <c r="D24" s="6">
        <v>3.2</v>
      </c>
      <c r="E24" s="6">
        <v>3.4</v>
      </c>
      <c r="F24" s="6">
        <v>2.2999999999999998</v>
      </c>
      <c r="G24" s="6">
        <v>2</v>
      </c>
      <c r="H24" s="6">
        <v>3.5</v>
      </c>
      <c r="I24" s="6">
        <v>2</v>
      </c>
      <c r="J24" s="6">
        <f t="shared" si="0"/>
        <v>2.94</v>
      </c>
      <c r="K24" s="6">
        <f t="array" ref="K24">IF(B24="","",ROUND((SUMPRODUCT('Semester 1'!D24:I24,{4,3,3,3,3,0})+SUMPRODUCT(D24:I24,{4,3,3,3,4,0}))/33,2))</f>
        <v>3.17</v>
      </c>
      <c r="L24" s="4" t="s">
        <v>17</v>
      </c>
    </row>
    <row r="25" spans="1:12" ht="14.25" customHeight="1">
      <c r="A25" s="4">
        <v>19</v>
      </c>
      <c r="B25" s="4" t="s">
        <v>54</v>
      </c>
      <c r="C25" s="5" t="s">
        <v>55</v>
      </c>
      <c r="D25" s="6">
        <v>3.4</v>
      </c>
      <c r="E25" s="6">
        <v>4</v>
      </c>
      <c r="F25" s="6">
        <v>2.2999999999999998</v>
      </c>
      <c r="G25" s="6">
        <v>3</v>
      </c>
      <c r="H25" s="6">
        <v>3.5</v>
      </c>
      <c r="I25" s="6">
        <v>0</v>
      </c>
      <c r="J25" s="6">
        <f t="shared" si="0"/>
        <v>3.26</v>
      </c>
      <c r="K25" s="6">
        <f t="array" ref="K25">IF(B25="","",ROUND((SUMPRODUCT('Semester 1'!D25:I25,{4,3,3,3,3,0})+SUMPRODUCT(D25:I25,{4,3,3,3,4,0}))/33,2))</f>
        <v>3.43</v>
      </c>
      <c r="L25" s="4" t="s">
        <v>17</v>
      </c>
    </row>
    <row r="26" spans="1:12" ht="14.25" customHeight="1">
      <c r="A26" s="4">
        <v>20</v>
      </c>
      <c r="B26" s="4" t="s">
        <v>56</v>
      </c>
      <c r="C26" s="5" t="s">
        <v>57</v>
      </c>
      <c r="D26" s="6">
        <v>3.2</v>
      </c>
      <c r="E26" s="6">
        <v>2.4</v>
      </c>
      <c r="F26" s="6">
        <v>2.2999999999999998</v>
      </c>
      <c r="G26" s="6">
        <v>0</v>
      </c>
      <c r="H26" s="6">
        <v>4</v>
      </c>
      <c r="I26" s="6">
        <v>2</v>
      </c>
      <c r="J26" s="6">
        <f t="shared" si="0"/>
        <v>2.52</v>
      </c>
      <c r="K26" s="6">
        <f t="array" ref="K26">IF(B26="","",ROUND((SUMPRODUCT('Semester 1'!D26:I26,{4,3,3,3,3,0})+SUMPRODUCT(D26:I26,{4,3,3,3,4,0}))/33,2))</f>
        <v>2.94</v>
      </c>
      <c r="L26" s="4" t="s">
        <v>17</v>
      </c>
    </row>
    <row r="27" spans="1:12" ht="14.25" customHeight="1">
      <c r="A27" s="4">
        <v>21</v>
      </c>
      <c r="B27" s="4" t="s">
        <v>58</v>
      </c>
      <c r="C27" s="5" t="s">
        <v>59</v>
      </c>
      <c r="D27" s="6">
        <v>3.2</v>
      </c>
      <c r="E27" s="6">
        <v>3.1</v>
      </c>
      <c r="F27" s="6">
        <v>2.4</v>
      </c>
      <c r="G27" s="6">
        <v>2.4</v>
      </c>
      <c r="H27" s="6">
        <v>4</v>
      </c>
      <c r="I27" s="6">
        <v>0</v>
      </c>
      <c r="J27" s="6">
        <f t="shared" si="0"/>
        <v>3.09</v>
      </c>
      <c r="K27" s="6">
        <f t="array" ref="K27">IF(B27="","",ROUND((SUMPRODUCT('Semester 1'!D27:I27,{4,3,3,3,3,0})+SUMPRODUCT(D27:I27,{4,3,3,3,4,0}))/33,2))</f>
        <v>3.38</v>
      </c>
      <c r="L27" s="4" t="s">
        <v>17</v>
      </c>
    </row>
    <row r="28" spans="1:12" ht="14.25" customHeight="1">
      <c r="A28" s="4">
        <v>22</v>
      </c>
      <c r="B28" s="4" t="s">
        <v>60</v>
      </c>
      <c r="C28" s="5" t="s">
        <v>61</v>
      </c>
      <c r="D28" s="6">
        <v>2.8</v>
      </c>
      <c r="E28" s="6">
        <v>3.1</v>
      </c>
      <c r="F28" s="6">
        <v>2</v>
      </c>
      <c r="G28" s="6">
        <v>2.2000000000000002</v>
      </c>
      <c r="H28" s="6">
        <v>3.2</v>
      </c>
      <c r="I28" s="6">
        <v>0</v>
      </c>
      <c r="J28" s="6">
        <f t="shared" si="0"/>
        <v>2.7</v>
      </c>
      <c r="K28" s="6">
        <f t="array" ref="K28">IF(B28="","",ROUND((SUMPRODUCT('Semester 1'!D28:I28,{4,3,3,3,3,0})+SUMPRODUCT(D28:I28,{4,3,3,3,4,0}))/33,2))</f>
        <v>3.23</v>
      </c>
      <c r="L28" s="4" t="s">
        <v>17</v>
      </c>
    </row>
    <row r="29" spans="1:12" ht="14.25" customHeight="1">
      <c r="A29" s="4">
        <v>23</v>
      </c>
      <c r="B29" s="4" t="s">
        <v>62</v>
      </c>
      <c r="C29" s="5" t="s">
        <v>63</v>
      </c>
      <c r="D29" s="6">
        <v>3.6</v>
      </c>
      <c r="E29" s="6">
        <v>4</v>
      </c>
      <c r="F29" s="6">
        <v>3</v>
      </c>
      <c r="G29" s="6">
        <v>2.5</v>
      </c>
      <c r="H29" s="6">
        <v>4</v>
      </c>
      <c r="I29" s="6">
        <v>0</v>
      </c>
      <c r="J29" s="6">
        <f t="shared" si="0"/>
        <v>3.46</v>
      </c>
      <c r="K29" s="6">
        <f t="array" ref="K29">IF(B29="","",ROUND((SUMPRODUCT('Semester 1'!D29:I29,{4,3,3,3,3,0})+SUMPRODUCT(D29:I29,{4,3,3,3,4,0}))/33,2))</f>
        <v>3.56</v>
      </c>
      <c r="L29" s="4" t="s">
        <v>17</v>
      </c>
    </row>
    <row r="30" spans="1:12" ht="14.25" customHeight="1">
      <c r="A30" s="4">
        <v>24</v>
      </c>
      <c r="B30" s="4" t="s">
        <v>64</v>
      </c>
      <c r="C30" s="5" t="s">
        <v>65</v>
      </c>
      <c r="D30" s="6">
        <v>2.9</v>
      </c>
      <c r="E30" s="6">
        <v>2.8</v>
      </c>
      <c r="F30" s="6">
        <v>2.2999999999999998</v>
      </c>
      <c r="G30" s="6">
        <v>2.1</v>
      </c>
      <c r="H30" s="6">
        <v>3.7</v>
      </c>
      <c r="I30" s="6">
        <v>0</v>
      </c>
      <c r="J30" s="6">
        <f t="shared" si="0"/>
        <v>2.82</v>
      </c>
      <c r="K30" s="6">
        <f t="array" ref="K30">IF(B30="","",ROUND((SUMPRODUCT('Semester 1'!D30:I30,{4,3,3,3,3,0})+SUMPRODUCT(D30:I30,{4,3,3,3,4,0}))/33,2))</f>
        <v>3.22</v>
      </c>
      <c r="L30" s="4" t="s">
        <v>17</v>
      </c>
    </row>
    <row r="31" spans="1:12" ht="14.25" customHeight="1">
      <c r="A31" s="4">
        <v>25</v>
      </c>
      <c r="B31" s="4" t="s">
        <v>66</v>
      </c>
      <c r="C31" s="5" t="s">
        <v>67</v>
      </c>
      <c r="D31" s="6">
        <v>3.2</v>
      </c>
      <c r="E31" s="6">
        <v>3.1</v>
      </c>
      <c r="F31" s="6">
        <v>3</v>
      </c>
      <c r="G31" s="6">
        <v>2.2999999999999998</v>
      </c>
      <c r="H31" s="6">
        <v>3.4</v>
      </c>
      <c r="I31" s="6">
        <v>3.5</v>
      </c>
      <c r="J31" s="6">
        <f t="shared" si="0"/>
        <v>3.04</v>
      </c>
      <c r="K31" s="6">
        <f t="array" ref="K31">IF(B31="","",ROUND((SUMPRODUCT('Semester 1'!D31:I31,{4,3,3,3,3,0})+SUMPRODUCT(D31:I31,{4,3,3,3,4,0}))/33,2))</f>
        <v>3.19</v>
      </c>
      <c r="L31" s="4" t="s">
        <v>17</v>
      </c>
    </row>
    <row r="32" spans="1:12" ht="14.25" customHeight="1">
      <c r="A32" s="4">
        <v>26</v>
      </c>
      <c r="B32" s="4" t="s">
        <v>68</v>
      </c>
      <c r="C32" s="5" t="s">
        <v>69</v>
      </c>
      <c r="D32" s="6">
        <v>3.3</v>
      </c>
      <c r="E32" s="6">
        <v>3.3</v>
      </c>
      <c r="F32" s="6">
        <v>2.2999999999999998</v>
      </c>
      <c r="G32" s="6">
        <v>2.1</v>
      </c>
      <c r="H32" s="6">
        <v>2.9</v>
      </c>
      <c r="I32" s="6">
        <v>3.1</v>
      </c>
      <c r="J32" s="6">
        <f t="shared" si="0"/>
        <v>2.82</v>
      </c>
      <c r="K32" s="6">
        <f t="array" ref="K32">IF(B32="","",ROUND((SUMPRODUCT('Semester 1'!D32:I32,{4,3,3,3,3,0})+SUMPRODUCT(D32:I32,{4,3,3,3,4,0}))/33,2))</f>
        <v>3.15</v>
      </c>
      <c r="L32" s="4" t="s">
        <v>17</v>
      </c>
    </row>
    <row r="33" spans="1:12" ht="14.25" customHeight="1">
      <c r="A33" s="4">
        <v>27</v>
      </c>
      <c r="B33" s="4" t="s">
        <v>70</v>
      </c>
      <c r="C33" s="5" t="s">
        <v>71</v>
      </c>
      <c r="D33" s="6">
        <v>2.6</v>
      </c>
      <c r="E33" s="6">
        <v>2.8</v>
      </c>
      <c r="F33" s="6">
        <v>2.1</v>
      </c>
      <c r="G33" s="6">
        <v>2.4</v>
      </c>
      <c r="H33" s="6">
        <v>3.1</v>
      </c>
      <c r="I33" s="6">
        <v>0</v>
      </c>
      <c r="J33" s="6">
        <f t="shared" si="0"/>
        <v>2.63</v>
      </c>
      <c r="K33" s="6">
        <f t="array" ref="K33">IF(B33="","",ROUND((SUMPRODUCT('Semester 1'!D33:I33,{4,3,3,3,3,0})+SUMPRODUCT(D33:I33,{4,3,3,3,4,0}))/33,2))</f>
        <v>2.91</v>
      </c>
      <c r="L33" s="4" t="s">
        <v>17</v>
      </c>
    </row>
    <row r="34" spans="1:12" ht="14.25" customHeight="1">
      <c r="A34" s="4">
        <v>28</v>
      </c>
      <c r="B34" s="4" t="s">
        <v>72</v>
      </c>
      <c r="C34" s="5" t="s">
        <v>73</v>
      </c>
      <c r="D34" s="6">
        <v>3.3</v>
      </c>
      <c r="E34" s="6">
        <v>2.8</v>
      </c>
      <c r="F34" s="6">
        <v>4</v>
      </c>
      <c r="G34" s="6">
        <v>2.5</v>
      </c>
      <c r="H34" s="6">
        <v>3.7</v>
      </c>
      <c r="I34" s="6">
        <v>0</v>
      </c>
      <c r="J34" s="6">
        <f t="shared" si="0"/>
        <v>3.29</v>
      </c>
      <c r="K34" s="6">
        <f t="array" ref="K34">IF(B34="","",ROUND((SUMPRODUCT('Semester 1'!D34:I34,{4,3,3,3,3,0})+SUMPRODUCT(D34:I34,{4,3,3,3,4,0}))/33,2))</f>
        <v>3.62</v>
      </c>
      <c r="L34" s="4" t="s">
        <v>17</v>
      </c>
    </row>
    <row r="35" spans="1:12" ht="14.25" customHeight="1">
      <c r="A35" s="4">
        <v>29</v>
      </c>
      <c r="B35" s="4" t="s">
        <v>74</v>
      </c>
      <c r="C35" s="5" t="s">
        <v>75</v>
      </c>
      <c r="D35" s="6">
        <v>2.7</v>
      </c>
      <c r="E35" s="6">
        <v>2.1</v>
      </c>
      <c r="F35" s="6">
        <v>2</v>
      </c>
      <c r="G35" s="6">
        <v>2</v>
      </c>
      <c r="H35" s="6">
        <v>3.4</v>
      </c>
      <c r="I35" s="6">
        <v>0</v>
      </c>
      <c r="J35" s="6">
        <f t="shared" si="0"/>
        <v>2.5099999999999998</v>
      </c>
      <c r="K35" s="6">
        <f t="array" ref="K35">IF(B35="","",ROUND((SUMPRODUCT('Semester 1'!D35:I35,{4,3,3,3,3,0})+SUMPRODUCT(D35:I35,{4,3,3,3,4,0}))/33,2))</f>
        <v>3.09</v>
      </c>
      <c r="L35" s="4" t="s">
        <v>17</v>
      </c>
    </row>
    <row r="36" spans="1:12" ht="14.25" customHeight="1">
      <c r="A36" s="4">
        <v>30</v>
      </c>
      <c r="B36" s="4" t="s">
        <v>76</v>
      </c>
      <c r="C36" s="5" t="s">
        <v>77</v>
      </c>
      <c r="D36" s="6">
        <v>2.9</v>
      </c>
      <c r="E36" s="6">
        <v>2.1</v>
      </c>
      <c r="F36" s="6">
        <v>2.2999999999999998</v>
      </c>
      <c r="G36" s="6">
        <v>2</v>
      </c>
      <c r="H36" s="6">
        <v>3.2</v>
      </c>
      <c r="I36" s="6">
        <v>0</v>
      </c>
      <c r="J36" s="6">
        <f t="shared" si="0"/>
        <v>2.56</v>
      </c>
      <c r="K36" s="6">
        <f t="array" ref="K36">IF(B36="","",ROUND((SUMPRODUCT('Semester 1'!D36:I36,{4,3,3,3,3,0})+SUMPRODUCT(D36:I36,{4,3,3,3,4,0}))/33,2))</f>
        <v>2.6</v>
      </c>
      <c r="L36" s="4" t="s">
        <v>17</v>
      </c>
    </row>
    <row r="37" spans="1:12" ht="14.25" customHeight="1">
      <c r="A37" s="4">
        <v>31</v>
      </c>
      <c r="B37" s="4" t="s">
        <v>78</v>
      </c>
      <c r="C37" s="5" t="s">
        <v>79</v>
      </c>
      <c r="D37" s="6">
        <v>3.9</v>
      </c>
      <c r="E37" s="6">
        <v>4</v>
      </c>
      <c r="F37" s="6">
        <v>4</v>
      </c>
      <c r="G37" s="6">
        <v>3</v>
      </c>
      <c r="H37" s="6">
        <v>4</v>
      </c>
      <c r="I37" s="6">
        <v>0</v>
      </c>
      <c r="J37" s="6">
        <f t="shared" si="0"/>
        <v>3.8</v>
      </c>
      <c r="K37" s="6">
        <f t="array" ref="K37">IF(B37="","",ROUND((SUMPRODUCT('Semester 1'!D37:I37,{4,3,3,3,3,0})+SUMPRODUCT(D37:I37,{4,3,3,3,4,0}))/33,2))</f>
        <v>3.9</v>
      </c>
      <c r="L37" s="4" t="s">
        <v>17</v>
      </c>
    </row>
    <row r="38" spans="1:12" ht="14.25" customHeight="1">
      <c r="A38" s="4">
        <v>32</v>
      </c>
      <c r="B38" s="4" t="s">
        <v>80</v>
      </c>
      <c r="C38" s="5" t="s">
        <v>81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f t="shared" si="0"/>
        <v>0</v>
      </c>
      <c r="K38" s="6">
        <f t="array" ref="K38">IF(B38="","",ROUND((SUMPRODUCT('Semester 1'!D38:I38,{4,3,3,3,3,0})+SUMPRODUCT(D38:I38,{4,3,3,3,4,0}))/33,2))</f>
        <v>1.89</v>
      </c>
      <c r="L38" s="4" t="s">
        <v>43</v>
      </c>
    </row>
    <row r="39" spans="1:12" ht="14.25" customHeight="1">
      <c r="A39" s="4">
        <v>33</v>
      </c>
      <c r="B39" s="4" t="s">
        <v>82</v>
      </c>
      <c r="C39" s="5" t="s">
        <v>83</v>
      </c>
      <c r="D39" s="6">
        <v>3</v>
      </c>
      <c r="E39" s="6">
        <v>4</v>
      </c>
      <c r="F39" s="6">
        <v>3.3</v>
      </c>
      <c r="G39" s="6">
        <v>2.5</v>
      </c>
      <c r="H39" s="6">
        <v>3.6</v>
      </c>
      <c r="I39" s="6">
        <v>2.8</v>
      </c>
      <c r="J39" s="6">
        <f t="shared" si="0"/>
        <v>3.28</v>
      </c>
      <c r="K39" s="6">
        <f t="array" ref="K39">IF(B39="","",ROUND((SUMPRODUCT('Semester 1'!D39:I39,{4,3,3,3,3,0})+SUMPRODUCT(D39:I39,{4,3,3,3,4,0}))/33,2))</f>
        <v>3.52</v>
      </c>
      <c r="L39" s="4" t="s">
        <v>17</v>
      </c>
    </row>
    <row r="40" spans="1:12" ht="14.25" customHeight="1">
      <c r="A40" s="4">
        <v>34</v>
      </c>
      <c r="B40" s="4" t="s">
        <v>84</v>
      </c>
      <c r="C40" s="5" t="s">
        <v>85</v>
      </c>
      <c r="D40" s="6">
        <v>0</v>
      </c>
      <c r="E40" s="6">
        <v>3.1</v>
      </c>
      <c r="F40" s="6">
        <v>2.4</v>
      </c>
      <c r="G40" s="6">
        <v>2.2000000000000002</v>
      </c>
      <c r="H40" s="6">
        <v>3.5</v>
      </c>
      <c r="I40" s="6">
        <v>4</v>
      </c>
      <c r="J40" s="6">
        <f t="shared" si="0"/>
        <v>2.1800000000000002</v>
      </c>
      <c r="K40" s="6">
        <f t="array" ref="K40">IF(B40="","",ROUND((SUMPRODUCT('Semester 1'!D40:I40,{4,3,3,3,3,0})+SUMPRODUCT(D40:I40,{4,3,3,3,4,0}))/33,2))</f>
        <v>3.06</v>
      </c>
      <c r="L40" s="4" t="s">
        <v>17</v>
      </c>
    </row>
    <row r="41" spans="1:12" ht="14.25" customHeight="1">
      <c r="A41" s="4">
        <v>35</v>
      </c>
      <c r="B41" s="4" t="s">
        <v>86</v>
      </c>
      <c r="C41" s="5" t="s">
        <v>87</v>
      </c>
      <c r="D41" s="6">
        <v>3.1</v>
      </c>
      <c r="E41" s="6">
        <v>2.8</v>
      </c>
      <c r="F41" s="6">
        <v>2.2000000000000002</v>
      </c>
      <c r="G41" s="6">
        <v>2</v>
      </c>
      <c r="H41" s="6">
        <v>3.1</v>
      </c>
      <c r="I41" s="6">
        <v>2</v>
      </c>
      <c r="J41" s="6">
        <f t="shared" si="0"/>
        <v>2.69</v>
      </c>
      <c r="K41" s="6">
        <f t="array" ref="K41">IF(B41="","",ROUND((SUMPRODUCT('Semester 1'!D41:I41,{4,3,3,3,3,0})+SUMPRODUCT(D41:I41,{4,3,3,3,4,0}))/33,2))</f>
        <v>2.97</v>
      </c>
      <c r="L41" s="4" t="s">
        <v>17</v>
      </c>
    </row>
    <row r="42" spans="1:12" ht="14.25" customHeight="1">
      <c r="A42" s="4">
        <v>36</v>
      </c>
      <c r="B42" s="4" t="s">
        <v>88</v>
      </c>
      <c r="C42" s="5" t="s">
        <v>89</v>
      </c>
      <c r="D42" s="6">
        <v>3</v>
      </c>
      <c r="E42" s="6">
        <v>4</v>
      </c>
      <c r="F42" s="6">
        <v>2.7</v>
      </c>
      <c r="G42" s="6">
        <v>2</v>
      </c>
      <c r="H42" s="6">
        <v>3.1</v>
      </c>
      <c r="I42" s="6">
        <v>0</v>
      </c>
      <c r="J42" s="6">
        <f t="shared" si="0"/>
        <v>2.97</v>
      </c>
      <c r="K42" s="6">
        <f t="array" ref="K42">IF(B42="","",ROUND((SUMPRODUCT('Semester 1'!D42:I42,{4,3,3,3,3,0})+SUMPRODUCT(D42:I42,{4,3,3,3,4,0}))/33,2))</f>
        <v>3.08</v>
      </c>
      <c r="L42" s="4" t="s">
        <v>17</v>
      </c>
    </row>
    <row r="43" spans="1:12" ht="14.25" customHeight="1">
      <c r="A43" s="4">
        <v>37</v>
      </c>
      <c r="B43" s="4" t="s">
        <v>90</v>
      </c>
      <c r="C43" s="5" t="s">
        <v>91</v>
      </c>
      <c r="D43" s="6">
        <v>2.9</v>
      </c>
      <c r="E43" s="6">
        <v>3.6</v>
      </c>
      <c r="F43" s="6">
        <v>4</v>
      </c>
      <c r="G43" s="6">
        <v>2.6</v>
      </c>
      <c r="H43" s="6">
        <v>3.5</v>
      </c>
      <c r="I43" s="6">
        <v>0</v>
      </c>
      <c r="J43" s="6">
        <f t="shared" si="0"/>
        <v>3.31</v>
      </c>
      <c r="K43" s="6">
        <f t="array" ref="K43">IF(B43="","",ROUND((SUMPRODUCT('Semester 1'!D43:I43,{4,3,3,3,3,0})+SUMPRODUCT(D43:I43,{4,3,3,3,4,0}))/33,2))</f>
        <v>3.51</v>
      </c>
      <c r="L43" s="4" t="s">
        <v>17</v>
      </c>
    </row>
    <row r="44" spans="1:12" ht="14.25" customHeight="1">
      <c r="A44" s="4">
        <v>38</v>
      </c>
      <c r="B44" s="4" t="s">
        <v>92</v>
      </c>
      <c r="C44" s="5" t="s">
        <v>93</v>
      </c>
      <c r="D44" s="6">
        <v>2.9</v>
      </c>
      <c r="E44" s="6">
        <v>2.1</v>
      </c>
      <c r="F44" s="6">
        <v>2</v>
      </c>
      <c r="G44" s="6">
        <v>2.1</v>
      </c>
      <c r="H44" s="6">
        <v>2.2999999999999998</v>
      </c>
      <c r="I44" s="6">
        <v>0</v>
      </c>
      <c r="J44" s="6">
        <f t="shared" si="0"/>
        <v>2.3199999999999998</v>
      </c>
      <c r="K44" s="6">
        <f t="array" ref="K44">IF(B44="","",ROUND((SUMPRODUCT('Semester 1'!D44:I44,{4,3,3,3,3,0})+SUMPRODUCT(D44:I44,{4,3,3,3,4,0}))/33,2))</f>
        <v>2.62</v>
      </c>
      <c r="L44" s="4" t="s">
        <v>17</v>
      </c>
    </row>
    <row r="45" spans="1:12" ht="14.25" customHeight="1">
      <c r="A45" s="4">
        <v>39</v>
      </c>
      <c r="B45" s="4" t="s">
        <v>94</v>
      </c>
      <c r="C45" s="5" t="s">
        <v>95</v>
      </c>
      <c r="D45" s="6">
        <v>4</v>
      </c>
      <c r="E45" s="6">
        <v>2.5</v>
      </c>
      <c r="F45" s="6">
        <v>3</v>
      </c>
      <c r="G45" s="6">
        <v>2</v>
      </c>
      <c r="H45" s="6">
        <v>3.5</v>
      </c>
      <c r="I45" s="6">
        <v>0</v>
      </c>
      <c r="J45" s="6">
        <f t="shared" si="0"/>
        <v>3.09</v>
      </c>
      <c r="K45" s="6">
        <f t="array" ref="K45">IF(B45="","",ROUND((SUMPRODUCT('Semester 1'!D45:I45,{4,3,3,3,3,0})+SUMPRODUCT(D45:I45,{4,3,3,3,4,0}))/33,2))</f>
        <v>3.34</v>
      </c>
      <c r="L45" s="4" t="s">
        <v>17</v>
      </c>
    </row>
    <row r="46" spans="1:12" ht="14.25" customHeight="1">
      <c r="A46" s="4">
        <v>40</v>
      </c>
      <c r="B46" s="4" t="s">
        <v>96</v>
      </c>
      <c r="C46" s="5" t="s">
        <v>97</v>
      </c>
      <c r="D46" s="6">
        <v>3.3</v>
      </c>
      <c r="E46" s="6">
        <v>4</v>
      </c>
      <c r="F46" s="6">
        <v>2.7</v>
      </c>
      <c r="G46" s="6">
        <v>0</v>
      </c>
      <c r="H46" s="6">
        <v>3.3</v>
      </c>
      <c r="I46" s="6">
        <v>3</v>
      </c>
      <c r="J46" s="6">
        <f t="shared" si="0"/>
        <v>2.74</v>
      </c>
      <c r="K46" s="6">
        <f t="array" ref="K46">IF(B46="","",ROUND((SUMPRODUCT('Semester 1'!D46:I46,{4,3,3,3,3,0})+SUMPRODUCT(D46:I46,{4,3,3,3,4,0}))/33,2))</f>
        <v>3.14</v>
      </c>
      <c r="L46" s="4" t="s">
        <v>17</v>
      </c>
    </row>
    <row r="47" spans="1:12" ht="14.25" customHeight="1">
      <c r="A47" s="4">
        <v>41</v>
      </c>
      <c r="B47" s="4" t="s">
        <v>98</v>
      </c>
      <c r="C47" s="5" t="s">
        <v>99</v>
      </c>
      <c r="D47" s="6">
        <v>3.9</v>
      </c>
      <c r="E47" s="6">
        <v>3.1</v>
      </c>
      <c r="F47" s="6">
        <v>2</v>
      </c>
      <c r="G47" s="6">
        <v>2.1</v>
      </c>
      <c r="H47" s="6">
        <v>3.3</v>
      </c>
      <c r="I47" s="6">
        <v>0</v>
      </c>
      <c r="J47" s="6">
        <f t="shared" si="0"/>
        <v>2.96</v>
      </c>
      <c r="K47" s="6">
        <f t="array" ref="K47">IF(B47="","",ROUND((SUMPRODUCT('Semester 1'!D47:I47,{4,3,3,3,3,0})+SUMPRODUCT(D47:I47,{4,3,3,3,4,0}))/33,2))</f>
        <v>3.39</v>
      </c>
      <c r="L47" s="4" t="s">
        <v>17</v>
      </c>
    </row>
    <row r="48" spans="1:12" ht="14.25" customHeight="1">
      <c r="A48" s="4">
        <v>42</v>
      </c>
      <c r="B48" s="4" t="s">
        <v>100</v>
      </c>
      <c r="C48" s="5" t="s">
        <v>101</v>
      </c>
      <c r="D48" s="6">
        <v>3.2</v>
      </c>
      <c r="E48" s="6">
        <v>2.5</v>
      </c>
      <c r="F48" s="6">
        <v>2</v>
      </c>
      <c r="G48" s="6">
        <v>2.9</v>
      </c>
      <c r="H48" s="6">
        <v>3.1</v>
      </c>
      <c r="I48" s="6">
        <v>0</v>
      </c>
      <c r="J48" s="6">
        <f t="shared" si="0"/>
        <v>2.79</v>
      </c>
      <c r="K48" s="6">
        <f t="array" ref="K48">IF(B48="","",ROUND((SUMPRODUCT('Semester 1'!D48:I48,{4,3,3,3,3,0})+SUMPRODUCT(D48:I48,{4,3,3,3,4,0}))/33,2))</f>
        <v>3.29</v>
      </c>
      <c r="L48" s="4" t="s">
        <v>17</v>
      </c>
    </row>
    <row r="49" spans="1:13" ht="14.25" customHeight="1">
      <c r="A49" s="4">
        <v>43</v>
      </c>
      <c r="B49" s="4" t="s">
        <v>102</v>
      </c>
      <c r="C49" s="5" t="s">
        <v>103</v>
      </c>
      <c r="D49" s="6">
        <v>3.1</v>
      </c>
      <c r="E49" s="6">
        <v>2.7</v>
      </c>
      <c r="F49" s="6">
        <v>2.2999999999999998</v>
      </c>
      <c r="G49" s="6">
        <v>2.1</v>
      </c>
      <c r="H49" s="6">
        <v>2.9</v>
      </c>
      <c r="I49" s="6">
        <v>0</v>
      </c>
      <c r="J49" s="6">
        <f t="shared" si="0"/>
        <v>2.66</v>
      </c>
      <c r="K49" s="6">
        <f t="array" ref="K49">IF(B49="","",ROUND((SUMPRODUCT('Semester 1'!D49:I49,{4,3,3,3,3,0})+SUMPRODUCT(D49:I49,{4,3,3,3,4,0}))/33,2))</f>
        <v>3.18</v>
      </c>
      <c r="L49" s="4" t="s">
        <v>17</v>
      </c>
    </row>
    <row r="50" spans="1:13" ht="14.25" customHeight="1">
      <c r="A50" s="4">
        <v>44</v>
      </c>
      <c r="B50" s="4" t="s">
        <v>104</v>
      </c>
      <c r="C50" s="5" t="s">
        <v>105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f t="shared" si="0"/>
        <v>0</v>
      </c>
      <c r="K50" s="6">
        <f t="array" ref="K50">IF(B50="","",ROUND((SUMPRODUCT('Semester 1'!D50:I50,{4,3,3,3,3,0})+SUMPRODUCT(D50:I50,{4,3,3,3,4,0}))/33,2))</f>
        <v>1.53</v>
      </c>
      <c r="L50" s="4" t="s">
        <v>43</v>
      </c>
    </row>
    <row r="51" spans="1:13" ht="14.25" customHeight="1">
      <c r="A51" s="4">
        <v>45</v>
      </c>
      <c r="B51" s="4" t="s">
        <v>106</v>
      </c>
      <c r="C51" s="5" t="s">
        <v>107</v>
      </c>
      <c r="D51" s="6">
        <v>3.4</v>
      </c>
      <c r="E51" s="6">
        <v>4</v>
      </c>
      <c r="F51" s="6">
        <v>3.3</v>
      </c>
      <c r="G51" s="6">
        <v>2</v>
      </c>
      <c r="H51" s="6">
        <v>3.4</v>
      </c>
      <c r="I51" s="6">
        <v>3.3</v>
      </c>
      <c r="J51" s="6">
        <f t="shared" si="0"/>
        <v>3.24</v>
      </c>
      <c r="K51" s="6">
        <f t="array" ref="K51">IF(B51="","",ROUND((SUMPRODUCT('Semester 1'!D51:I51,{4,3,3,3,3,0})+SUMPRODUCT(D51:I51,{4,3,3,3,4,0}))/33,2))</f>
        <v>3.31</v>
      </c>
      <c r="L51" s="4" t="s">
        <v>17</v>
      </c>
      <c r="M51" s="7"/>
    </row>
    <row r="52" spans="1:13" ht="14.25" customHeight="1">
      <c r="A52" s="4">
        <v>46</v>
      </c>
      <c r="B52" s="4" t="s">
        <v>108</v>
      </c>
      <c r="C52" s="5" t="s">
        <v>109</v>
      </c>
      <c r="D52" s="6">
        <v>3.4</v>
      </c>
      <c r="E52" s="6">
        <v>2.6</v>
      </c>
      <c r="F52" s="6">
        <v>0</v>
      </c>
      <c r="G52" s="6">
        <v>2.5</v>
      </c>
      <c r="H52" s="6">
        <v>3.1</v>
      </c>
      <c r="I52" s="6">
        <v>0</v>
      </c>
      <c r="J52" s="6">
        <f t="shared" si="0"/>
        <v>2.4300000000000002</v>
      </c>
      <c r="K52" s="6">
        <f t="array" ref="K52">IF(B52="","",ROUND((SUMPRODUCT('Semester 1'!D52:I52,{4,3,3,3,3,0})+SUMPRODUCT(D52:I52,{4,3,3,3,4,0}))/33,2))</f>
        <v>2.9</v>
      </c>
      <c r="L52" s="4" t="s">
        <v>17</v>
      </c>
    </row>
    <row r="53" spans="1:13" ht="14.25" customHeight="1">
      <c r="A53" s="4">
        <v>47</v>
      </c>
      <c r="B53" s="4" t="s">
        <v>110</v>
      </c>
      <c r="C53" s="5" t="s">
        <v>111</v>
      </c>
      <c r="D53" s="6">
        <v>2.9</v>
      </c>
      <c r="E53" s="6">
        <v>3.1</v>
      </c>
      <c r="F53" s="6">
        <v>3.1</v>
      </c>
      <c r="G53" s="6">
        <v>2.7</v>
      </c>
      <c r="H53" s="6">
        <v>3.7</v>
      </c>
      <c r="I53" s="6">
        <v>0</v>
      </c>
      <c r="J53" s="6">
        <f t="shared" si="0"/>
        <v>3.12</v>
      </c>
      <c r="K53" s="6">
        <f t="array" ref="K53">IF(B53="","",ROUND((SUMPRODUCT('Semester 1'!D53:I53,{4,3,3,3,3,0})+SUMPRODUCT(D53:I53,{4,3,3,3,4,0}))/33,2))</f>
        <v>3.3</v>
      </c>
      <c r="L53" s="4" t="s">
        <v>17</v>
      </c>
    </row>
    <row r="54" spans="1:13" ht="14.25" customHeight="1">
      <c r="A54" s="4">
        <v>48</v>
      </c>
      <c r="B54" s="4" t="s">
        <v>112</v>
      </c>
      <c r="C54" s="5" t="s">
        <v>113</v>
      </c>
      <c r="D54" s="6">
        <v>3.3</v>
      </c>
      <c r="E54" s="6">
        <v>2.1</v>
      </c>
      <c r="F54" s="6">
        <v>2.7</v>
      </c>
      <c r="G54" s="6">
        <v>0</v>
      </c>
      <c r="H54" s="6">
        <v>4</v>
      </c>
      <c r="I54" s="6">
        <v>0</v>
      </c>
      <c r="J54" s="6">
        <f t="shared" si="0"/>
        <v>2.56</v>
      </c>
      <c r="K54" s="6">
        <f t="array" ref="K54">IF(B54="","",ROUND((SUMPRODUCT('Semester 1'!D54:I54,{4,3,3,3,3,0})+SUMPRODUCT(D54:I54,{4,3,3,3,4,0}))/33,2))</f>
        <v>2.94</v>
      </c>
      <c r="L54" s="4" t="s">
        <v>17</v>
      </c>
    </row>
    <row r="55" spans="1:13" ht="14.25" customHeight="1">
      <c r="A55" s="4">
        <v>49</v>
      </c>
      <c r="B55" s="4" t="s">
        <v>114</v>
      </c>
      <c r="C55" s="5" t="s">
        <v>115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f t="shared" si="0"/>
        <v>0</v>
      </c>
      <c r="K55" s="6">
        <f t="array" ref="K55">IF(B55="","",ROUND((SUMPRODUCT('Semester 1'!D55:I55,{4,3,3,3,3,0})+SUMPRODUCT(D55:I55,{4,3,3,3,4,0}))/33,2))</f>
        <v>0</v>
      </c>
      <c r="L55" s="4" t="s">
        <v>43</v>
      </c>
    </row>
    <row r="56" spans="1:13" ht="14.25" customHeight="1">
      <c r="A56" s="4">
        <v>50</v>
      </c>
      <c r="B56" s="4" t="s">
        <v>116</v>
      </c>
      <c r="C56" s="5" t="s">
        <v>117</v>
      </c>
      <c r="D56" s="6">
        <v>3.5</v>
      </c>
      <c r="E56" s="6">
        <v>4</v>
      </c>
      <c r="F56" s="6">
        <v>2.2999999999999998</v>
      </c>
      <c r="G56" s="6">
        <v>2.1</v>
      </c>
      <c r="H56" s="6">
        <v>3.3</v>
      </c>
      <c r="I56" s="6">
        <v>2</v>
      </c>
      <c r="J56" s="6">
        <f t="shared" si="0"/>
        <v>3.08</v>
      </c>
      <c r="K56" s="6">
        <f t="array" ref="K56">IF(B56="","",ROUND((SUMPRODUCT('Semester 1'!D56:I56,{4,3,3,3,3,0})+SUMPRODUCT(D56:I56,{4,3,3,3,4,0}))/33,2))</f>
        <v>3.39</v>
      </c>
      <c r="L56" s="4" t="s">
        <v>17</v>
      </c>
    </row>
    <row r="57" spans="1:13" ht="14.25" customHeight="1">
      <c r="A57" s="4">
        <v>51</v>
      </c>
      <c r="B57" s="4" t="s">
        <v>118</v>
      </c>
      <c r="C57" s="5" t="s">
        <v>119</v>
      </c>
      <c r="D57" s="6">
        <v>3.5</v>
      </c>
      <c r="E57" s="6">
        <v>3.2</v>
      </c>
      <c r="F57" s="6">
        <v>2</v>
      </c>
      <c r="G57" s="6">
        <v>2.1</v>
      </c>
      <c r="H57" s="6">
        <v>3.4</v>
      </c>
      <c r="I57" s="6">
        <v>2</v>
      </c>
      <c r="J57" s="6">
        <f t="shared" si="0"/>
        <v>2.91</v>
      </c>
      <c r="K57" s="6">
        <f t="array" ref="K57">IF(B57="","",ROUND((SUMPRODUCT('Semester 1'!D57:I57,{4,3,3,3,3,0})+SUMPRODUCT(D57:I57,{4,3,3,3,4,0}))/33,2))</f>
        <v>3.1</v>
      </c>
      <c r="L57" s="4" t="s">
        <v>17</v>
      </c>
    </row>
    <row r="58" spans="1:13" ht="14.25" customHeight="1">
      <c r="A58" s="4">
        <v>52</v>
      </c>
      <c r="B58" s="4" t="s">
        <v>120</v>
      </c>
      <c r="C58" s="5" t="s">
        <v>121</v>
      </c>
      <c r="D58" s="6">
        <v>4</v>
      </c>
      <c r="E58" s="6">
        <v>4</v>
      </c>
      <c r="F58" s="6">
        <v>3.7</v>
      </c>
      <c r="G58" s="6">
        <v>2.5</v>
      </c>
      <c r="H58" s="6">
        <v>3.5</v>
      </c>
      <c r="I58" s="6">
        <v>0</v>
      </c>
      <c r="J58" s="6">
        <f t="shared" si="0"/>
        <v>3.56</v>
      </c>
      <c r="K58" s="6">
        <f t="array" ref="K58">IF(B58="","",ROUND((SUMPRODUCT('Semester 1'!D58:I58,{4,3,3,3,3,0})+SUMPRODUCT(D58:I58,{4,3,3,3,4,0}))/33,2))</f>
        <v>3.71</v>
      </c>
      <c r="L58" s="4" t="s">
        <v>17</v>
      </c>
    </row>
    <row r="59" spans="1:13" ht="14.25" customHeight="1">
      <c r="A59" s="4">
        <v>53</v>
      </c>
      <c r="B59" s="4" t="s">
        <v>122</v>
      </c>
      <c r="C59" s="5" t="s">
        <v>123</v>
      </c>
      <c r="D59" s="6">
        <v>2.7</v>
      </c>
      <c r="E59" s="6">
        <v>2.7</v>
      </c>
      <c r="F59" s="6">
        <v>2.1</v>
      </c>
      <c r="G59" s="6">
        <v>2.1</v>
      </c>
      <c r="H59" s="6">
        <v>3.6</v>
      </c>
      <c r="I59" s="6">
        <v>2.2999999999999998</v>
      </c>
      <c r="J59" s="6">
        <f t="shared" si="0"/>
        <v>2.7</v>
      </c>
      <c r="K59" s="6">
        <f t="array" ref="K59">IF(B59="","",ROUND((SUMPRODUCT('Semester 1'!D59:I59,{4,3,3,3,3,0})+SUMPRODUCT(D59:I59,{4,3,3,3,4,0}))/33,2))</f>
        <v>3.18</v>
      </c>
      <c r="L59" s="4" t="s">
        <v>17</v>
      </c>
    </row>
    <row r="60" spans="1:13" ht="14.25" customHeight="1">
      <c r="A60" s="4">
        <v>54</v>
      </c>
      <c r="B60" s="4" t="s">
        <v>124</v>
      </c>
      <c r="C60" s="5" t="s">
        <v>125</v>
      </c>
      <c r="D60" s="6">
        <v>3.1</v>
      </c>
      <c r="E60" s="6">
        <v>3.7</v>
      </c>
      <c r="F60" s="6">
        <v>3.7</v>
      </c>
      <c r="G60" s="6">
        <v>2.5</v>
      </c>
      <c r="H60" s="6">
        <v>3.6</v>
      </c>
      <c r="I60" s="6">
        <v>0</v>
      </c>
      <c r="J60" s="6">
        <f t="shared" si="0"/>
        <v>3.32</v>
      </c>
      <c r="K60" s="6">
        <f t="array" ref="K60">IF(B60="","",ROUND((SUMPRODUCT('Semester 1'!D60:I60,{4,3,3,3,3,0})+SUMPRODUCT(D60:I60,{4,3,3,3,4,0}))/33,2))</f>
        <v>3.6</v>
      </c>
      <c r="L60" s="4" t="s">
        <v>17</v>
      </c>
    </row>
    <row r="61" spans="1:13" ht="14.25" customHeight="1">
      <c r="A61" s="4">
        <v>55</v>
      </c>
      <c r="B61" s="4" t="s">
        <v>126</v>
      </c>
      <c r="C61" s="5" t="s">
        <v>127</v>
      </c>
      <c r="D61" s="6">
        <v>3.5</v>
      </c>
      <c r="E61" s="6">
        <v>3.2</v>
      </c>
      <c r="F61" s="6">
        <v>2</v>
      </c>
      <c r="G61" s="6">
        <v>2.2000000000000002</v>
      </c>
      <c r="H61" s="6">
        <v>3.3</v>
      </c>
      <c r="I61" s="6">
        <v>0</v>
      </c>
      <c r="J61" s="6">
        <f t="shared" si="0"/>
        <v>2.91</v>
      </c>
      <c r="K61" s="6">
        <f t="array" ref="K61">IF(B61="","",ROUND((SUMPRODUCT('Semester 1'!D61:I61,{4,3,3,3,3,0})+SUMPRODUCT(D61:I61,{4,3,3,3,4,0}))/33,2))</f>
        <v>3.07</v>
      </c>
      <c r="L61" s="4" t="s">
        <v>17</v>
      </c>
    </row>
    <row r="62" spans="1:13" ht="14.25" customHeight="1">
      <c r="A62" s="4">
        <v>56</v>
      </c>
      <c r="B62" s="4" t="s">
        <v>128</v>
      </c>
      <c r="C62" s="5" t="s">
        <v>129</v>
      </c>
      <c r="D62" s="6">
        <v>3.4</v>
      </c>
      <c r="E62" s="6">
        <v>3.7</v>
      </c>
      <c r="F62" s="6">
        <v>2</v>
      </c>
      <c r="G62" s="6">
        <v>2.1</v>
      </c>
      <c r="H62" s="6">
        <v>2.9</v>
      </c>
      <c r="I62" s="6">
        <v>0</v>
      </c>
      <c r="J62" s="6">
        <f t="shared" si="0"/>
        <v>2.86</v>
      </c>
      <c r="K62" s="6">
        <f t="array" ref="K62">IF(B62="","",ROUND((SUMPRODUCT('Semester 1'!D62:I62,{4,3,3,3,3,0})+SUMPRODUCT(D62:I62,{4,3,3,3,4,0}))/33,2))</f>
        <v>2.98</v>
      </c>
      <c r="L62" s="4" t="s">
        <v>17</v>
      </c>
    </row>
    <row r="63" spans="1:13" ht="14.25" customHeight="1"/>
    <row r="64" spans="1:13" ht="24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5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L1"/>
    <mergeCell ref="A2:L2"/>
    <mergeCell ref="A3:L3"/>
    <mergeCell ref="A4:L4"/>
    <mergeCell ref="A64:L64"/>
  </mergeCells>
  <conditionalFormatting sqref="L7:L62">
    <cfRule type="expression" dxfId="14" priority="1">
      <formula>L7="Dropped"</formula>
    </cfRule>
    <cfRule type="expression" dxfId="13" priority="2">
      <formula>L7="Probation"</formula>
    </cfRule>
    <cfRule type="expression" dxfId="12" priority="3">
      <formula>L7="Promoted"</formula>
    </cfRule>
  </conditionalFormatting>
  <pageMargins left="0.7" right="0.7" top="0.75" bottom="0.75" header="0" footer="0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000"/>
  <sheetViews>
    <sheetView tabSelected="1" workbookViewId="0">
      <selection sqref="A1:Q1"/>
    </sheetView>
  </sheetViews>
  <sheetFormatPr defaultColWidth="14.44140625" defaultRowHeight="15" customHeight="1"/>
  <cols>
    <col min="1" max="1" width="7.6640625" customWidth="1"/>
    <col min="2" max="2" width="21.109375" customWidth="1"/>
    <col min="3" max="3" width="28.88671875" customWidth="1"/>
    <col min="4" max="8" width="11.88671875" customWidth="1"/>
    <col min="9" max="12" width="11.6640625" customWidth="1"/>
    <col min="13" max="13" width="11" customWidth="1"/>
    <col min="14" max="14" width="11.6640625" customWidth="1"/>
    <col min="15" max="16" width="6.6640625" customWidth="1"/>
    <col min="17" max="17" width="9.6640625" customWidth="1"/>
    <col min="18" max="26" width="8.6640625" customWidth="1"/>
  </cols>
  <sheetData>
    <row r="1" spans="1:18" ht="20.2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1"/>
    </row>
    <row r="2" spans="1:18" ht="14.25" customHeight="1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</row>
    <row r="3" spans="1:18" ht="14.25" customHeight="1">
      <c r="A3" s="1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8" ht="14.25" customHeight="1">
      <c r="A4" s="12" t="s">
        <v>138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</row>
    <row r="5" spans="1:18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ht="25.5" customHeight="1">
      <c r="A6" s="2" t="s">
        <v>4</v>
      </c>
      <c r="B6" s="2" t="s">
        <v>5</v>
      </c>
      <c r="C6" s="2" t="s">
        <v>6</v>
      </c>
      <c r="D6" s="2" t="s">
        <v>139</v>
      </c>
      <c r="E6" s="2" t="s">
        <v>140</v>
      </c>
      <c r="F6" s="2" t="s">
        <v>141</v>
      </c>
      <c r="G6" s="2" t="s">
        <v>142</v>
      </c>
      <c r="H6" s="2" t="s">
        <v>143</v>
      </c>
      <c r="I6" s="2" t="s">
        <v>144</v>
      </c>
      <c r="J6" s="2" t="s">
        <v>145</v>
      </c>
      <c r="K6" s="2" t="s">
        <v>146</v>
      </c>
      <c r="L6" s="2" t="s">
        <v>147</v>
      </c>
      <c r="M6" s="2" t="s">
        <v>148</v>
      </c>
      <c r="N6" s="2" t="s">
        <v>149</v>
      </c>
      <c r="O6" s="2" t="s">
        <v>13</v>
      </c>
      <c r="P6" s="2" t="s">
        <v>137</v>
      </c>
      <c r="Q6" s="2" t="s">
        <v>14</v>
      </c>
      <c r="R6" s="3"/>
    </row>
    <row r="7" spans="1:18" ht="14.25" customHeight="1">
      <c r="A7" s="4">
        <v>1</v>
      </c>
      <c r="B7" s="4" t="s">
        <v>15</v>
      </c>
      <c r="C7" s="5" t="s">
        <v>16</v>
      </c>
      <c r="D7" s="6">
        <v>3.2</v>
      </c>
      <c r="E7" s="6">
        <v>3.3</v>
      </c>
      <c r="F7" s="6">
        <v>3.9</v>
      </c>
      <c r="G7" s="6">
        <v>3.3</v>
      </c>
      <c r="H7" s="6">
        <v>3.7</v>
      </c>
      <c r="I7" s="6">
        <v>4</v>
      </c>
      <c r="J7" s="6">
        <v>4</v>
      </c>
      <c r="K7" s="6">
        <v>3.7</v>
      </c>
      <c r="L7" s="6">
        <v>4</v>
      </c>
      <c r="M7" s="6">
        <v>3.4</v>
      </c>
      <c r="N7" s="6">
        <v>3.1</v>
      </c>
      <c r="O7" s="6">
        <f t="shared" ref="O7:O62" si="0">IF(B7="","",ROUND(SUMPRODUCT(D7:N7,{3,1,2,1,2,2,1,2,1,2,2})/19,2))</f>
        <v>3.57</v>
      </c>
      <c r="P7" s="6">
        <f t="array" ref="P7">IF(B7="","",ROUND((SUMPRODUCT('Semester 1'!D7:I7,{4,3,3,3,3,0})+SUMPRODUCT('Semester 2'!D7:I7,{4,3,3,3,4,0})+SUMPRODUCT(D7:N7,{3,1,2,1,2,2,1,2,1,2,2}))/52,2))</f>
        <v>3.75</v>
      </c>
      <c r="Q7" s="4" t="s">
        <v>17</v>
      </c>
    </row>
    <row r="8" spans="1:18" ht="14.25" customHeight="1">
      <c r="A8" s="4">
        <v>2</v>
      </c>
      <c r="B8" s="4" t="s">
        <v>18</v>
      </c>
      <c r="C8" s="5" t="s">
        <v>19</v>
      </c>
      <c r="D8" s="6">
        <v>4</v>
      </c>
      <c r="E8" s="6">
        <v>3.7</v>
      </c>
      <c r="F8" s="6">
        <v>4</v>
      </c>
      <c r="G8" s="6">
        <v>4</v>
      </c>
      <c r="H8" s="6">
        <v>4</v>
      </c>
      <c r="I8" s="6">
        <v>4</v>
      </c>
      <c r="J8" s="6">
        <v>4</v>
      </c>
      <c r="K8" s="6">
        <v>3.6</v>
      </c>
      <c r="L8" s="6">
        <v>4</v>
      </c>
      <c r="M8" s="6">
        <v>3.9</v>
      </c>
      <c r="N8" s="6">
        <v>3.6</v>
      </c>
      <c r="O8" s="6">
        <f t="shared" si="0"/>
        <v>3.89</v>
      </c>
      <c r="P8" s="6">
        <f t="array" ref="P8">IF(B8="","",ROUND((SUMPRODUCT('Semester 1'!D8:I8,{4,3,3,3,3,0})+SUMPRODUCT('Semester 2'!D8:I8,{4,3,3,3,4,0})+SUMPRODUCT(D8:N8,{3,1,2,1,2,2,1,2,1,2,2}))/52,2))</f>
        <v>3.72</v>
      </c>
      <c r="Q8" s="4" t="s">
        <v>17</v>
      </c>
    </row>
    <row r="9" spans="1:18" ht="14.25" customHeight="1">
      <c r="A9" s="4">
        <v>3</v>
      </c>
      <c r="B9" s="4" t="s">
        <v>20</v>
      </c>
      <c r="C9" s="5" t="s">
        <v>21</v>
      </c>
      <c r="D9" s="6">
        <v>3.9</v>
      </c>
      <c r="E9" s="6">
        <v>4</v>
      </c>
      <c r="F9" s="6">
        <v>4</v>
      </c>
      <c r="G9" s="6">
        <v>4</v>
      </c>
      <c r="H9" s="6">
        <v>4</v>
      </c>
      <c r="I9" s="6">
        <v>4</v>
      </c>
      <c r="J9" s="6">
        <v>4</v>
      </c>
      <c r="K9" s="6">
        <v>4</v>
      </c>
      <c r="L9" s="6">
        <v>4</v>
      </c>
      <c r="M9" s="6">
        <v>4</v>
      </c>
      <c r="N9" s="6">
        <v>4</v>
      </c>
      <c r="O9" s="6">
        <f t="shared" si="0"/>
        <v>3.98</v>
      </c>
      <c r="P9" s="6">
        <f t="array" ref="P9">IF(B9="","",ROUND((SUMPRODUCT('Semester 1'!D9:I9,{4,3,3,3,3,0})+SUMPRODUCT('Semester 2'!D9:I9,{4,3,3,3,4,0})+SUMPRODUCT(D9:N9,{3,1,2,1,2,2,1,2,1,2,2}))/52,2))</f>
        <v>3.76</v>
      </c>
      <c r="Q9" s="4" t="s">
        <v>17</v>
      </c>
    </row>
    <row r="10" spans="1:18" ht="14.25" customHeight="1">
      <c r="A10" s="4">
        <v>4</v>
      </c>
      <c r="B10" s="4" t="s">
        <v>22</v>
      </c>
      <c r="C10" s="5" t="s">
        <v>23</v>
      </c>
      <c r="D10" s="6">
        <v>3.8</v>
      </c>
      <c r="E10" s="6">
        <v>3.7</v>
      </c>
      <c r="F10" s="6">
        <v>4</v>
      </c>
      <c r="G10" s="6">
        <v>4</v>
      </c>
      <c r="H10" s="6">
        <v>4</v>
      </c>
      <c r="I10" s="6">
        <v>4</v>
      </c>
      <c r="J10" s="6">
        <v>4</v>
      </c>
      <c r="K10" s="6">
        <v>4</v>
      </c>
      <c r="L10" s="6">
        <v>3.3</v>
      </c>
      <c r="M10" s="6">
        <v>3.7</v>
      </c>
      <c r="N10" s="6">
        <v>4</v>
      </c>
      <c r="O10" s="6">
        <f t="shared" si="0"/>
        <v>3.88</v>
      </c>
      <c r="P10" s="6">
        <f t="array" ref="P10">IF(B10="","",ROUND((SUMPRODUCT('Semester 1'!D10:I10,{4,3,3,3,3,0})+SUMPRODUCT('Semester 2'!D10:I10,{4,3,3,3,4,0})+SUMPRODUCT(D10:N10,{3,1,2,1,2,2,1,2,1,2,2}))/52,2))</f>
        <v>3.53</v>
      </c>
      <c r="Q10" s="4" t="s">
        <v>17</v>
      </c>
    </row>
    <row r="11" spans="1:18" ht="14.25" customHeight="1">
      <c r="A11" s="4">
        <v>5</v>
      </c>
      <c r="B11" s="4" t="s">
        <v>24</v>
      </c>
      <c r="C11" s="5" t="s">
        <v>25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4</v>
      </c>
      <c r="K11" s="6">
        <v>0</v>
      </c>
      <c r="L11" s="6">
        <v>0</v>
      </c>
      <c r="M11" s="6">
        <v>0</v>
      </c>
      <c r="N11" s="6">
        <v>0</v>
      </c>
      <c r="O11" s="6">
        <f t="shared" si="0"/>
        <v>0.21</v>
      </c>
      <c r="P11" s="6">
        <f t="array" ref="P11">IF(B11="","",ROUND((SUMPRODUCT('Semester 1'!D11:I11,{4,3,3,3,3,0})+SUMPRODUCT('Semester 2'!D11:I11,{4,3,3,3,4,0})+SUMPRODUCT(D11:N11,{3,1,2,1,2,2,1,2,1,2,2}))/52,2))</f>
        <v>1.04</v>
      </c>
      <c r="Q11" s="4" t="s">
        <v>43</v>
      </c>
    </row>
    <row r="12" spans="1:18" ht="14.25" customHeight="1">
      <c r="A12" s="4">
        <v>6</v>
      </c>
      <c r="B12" s="4" t="s">
        <v>26</v>
      </c>
      <c r="C12" s="5" t="s">
        <v>27</v>
      </c>
      <c r="D12" s="6">
        <v>3.9</v>
      </c>
      <c r="E12" s="6">
        <v>3.3</v>
      </c>
      <c r="F12" s="6">
        <v>3.3</v>
      </c>
      <c r="G12" s="6">
        <v>3.3</v>
      </c>
      <c r="H12" s="6">
        <v>4</v>
      </c>
      <c r="I12" s="6">
        <v>3.5</v>
      </c>
      <c r="J12" s="6">
        <v>0</v>
      </c>
      <c r="K12" s="6">
        <v>2</v>
      </c>
      <c r="L12" s="6">
        <v>2</v>
      </c>
      <c r="M12" s="6">
        <v>3.3</v>
      </c>
      <c r="N12" s="6">
        <v>3.8</v>
      </c>
      <c r="O12" s="6">
        <f t="shared" si="0"/>
        <v>3.16</v>
      </c>
      <c r="P12" s="6">
        <f t="array" ref="P12">IF(B12="","",ROUND((SUMPRODUCT('Semester 1'!D12:I12,{4,3,3,3,3,0})+SUMPRODUCT('Semester 2'!D12:I12,{4,3,3,3,4,0})+SUMPRODUCT(D12:N12,{3,1,2,1,2,2,1,2,1,2,2}))/52,2))</f>
        <v>3.16</v>
      </c>
      <c r="Q12" s="4" t="s">
        <v>17</v>
      </c>
    </row>
    <row r="13" spans="1:18" ht="14.25" customHeight="1">
      <c r="A13" s="4">
        <v>7</v>
      </c>
      <c r="B13" s="4" t="s">
        <v>28</v>
      </c>
      <c r="C13" s="5" t="s">
        <v>29</v>
      </c>
      <c r="D13" s="6">
        <v>3.6</v>
      </c>
      <c r="E13" s="6">
        <v>3.3</v>
      </c>
      <c r="F13" s="6">
        <v>4</v>
      </c>
      <c r="G13" s="6">
        <v>4</v>
      </c>
      <c r="H13" s="6">
        <v>3.9</v>
      </c>
      <c r="I13" s="6">
        <v>3</v>
      </c>
      <c r="J13" s="6">
        <v>2.9</v>
      </c>
      <c r="K13" s="6">
        <v>4</v>
      </c>
      <c r="L13" s="6">
        <v>4</v>
      </c>
      <c r="M13" s="6">
        <v>3.9</v>
      </c>
      <c r="N13" s="6">
        <v>4</v>
      </c>
      <c r="O13" s="6">
        <f t="shared" si="0"/>
        <v>3.72</v>
      </c>
      <c r="P13" s="6">
        <f t="array" ref="P13">IF(B13="","",ROUND((SUMPRODUCT('Semester 1'!D13:I13,{4,3,3,3,3,0})+SUMPRODUCT('Semester 2'!D13:I13,{4,3,3,3,4,0})+SUMPRODUCT(D13:N13,{3,1,2,1,2,2,1,2,1,2,2}))/52,2))</f>
        <v>3.69</v>
      </c>
      <c r="Q13" s="4" t="s">
        <v>17</v>
      </c>
    </row>
    <row r="14" spans="1:18" ht="14.25" customHeight="1">
      <c r="A14" s="4">
        <v>8</v>
      </c>
      <c r="B14" s="4" t="s">
        <v>30</v>
      </c>
      <c r="C14" s="5" t="s">
        <v>31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f t="shared" si="0"/>
        <v>0</v>
      </c>
      <c r="P14" s="6">
        <f t="array" ref="P14">IF(B14="","",ROUND((SUMPRODUCT('Semester 1'!D14:I14,{4,3,3,3,3,0})+SUMPRODUCT('Semester 2'!D14:I14,{4,3,3,3,4,0})+SUMPRODUCT(D14:N14,{3,1,2,1,2,2,1,2,1,2,2}))/52,2))</f>
        <v>0.76</v>
      </c>
      <c r="Q14" s="4" t="s">
        <v>43</v>
      </c>
    </row>
    <row r="15" spans="1:18" ht="14.25" customHeight="1">
      <c r="A15" s="4">
        <v>9</v>
      </c>
      <c r="B15" s="4" t="s">
        <v>33</v>
      </c>
      <c r="C15" s="5" t="s">
        <v>34</v>
      </c>
      <c r="D15" s="6">
        <v>3.3</v>
      </c>
      <c r="E15" s="6">
        <v>4</v>
      </c>
      <c r="F15" s="6">
        <v>3</v>
      </c>
      <c r="G15" s="6">
        <v>3.3</v>
      </c>
      <c r="H15" s="6">
        <v>3.9</v>
      </c>
      <c r="I15" s="6">
        <v>3.5</v>
      </c>
      <c r="J15" s="6">
        <v>3.6</v>
      </c>
      <c r="K15" s="6">
        <v>3.5</v>
      </c>
      <c r="L15" s="6">
        <v>4</v>
      </c>
      <c r="M15" s="6">
        <v>2.5</v>
      </c>
      <c r="N15" s="6">
        <v>2.9</v>
      </c>
      <c r="O15" s="6">
        <f t="shared" si="0"/>
        <v>3.34</v>
      </c>
      <c r="P15" s="6">
        <f t="array" ref="P15">IF(B15="","",ROUND((SUMPRODUCT('Semester 1'!D15:I15,{4,3,3,3,3,0})+SUMPRODUCT('Semester 2'!D15:I15,{4,3,3,3,4,0})+SUMPRODUCT(D15:N15,{3,1,2,1,2,2,1,2,1,2,2}))/52,2))</f>
        <v>3.39</v>
      </c>
      <c r="Q15" s="4" t="s">
        <v>17</v>
      </c>
    </row>
    <row r="16" spans="1:18" ht="14.25" customHeight="1">
      <c r="A16" s="4">
        <v>10</v>
      </c>
      <c r="B16" s="4" t="s">
        <v>35</v>
      </c>
      <c r="C16" s="5" t="s">
        <v>36</v>
      </c>
      <c r="D16" s="6">
        <v>4</v>
      </c>
      <c r="E16" s="6">
        <v>4</v>
      </c>
      <c r="F16" s="6">
        <v>3.7</v>
      </c>
      <c r="G16" s="6">
        <v>4</v>
      </c>
      <c r="H16" s="6">
        <v>4</v>
      </c>
      <c r="I16" s="6">
        <v>4</v>
      </c>
      <c r="J16" s="6">
        <v>4</v>
      </c>
      <c r="K16" s="6">
        <v>3.5</v>
      </c>
      <c r="L16" s="6">
        <v>3.3</v>
      </c>
      <c r="M16" s="6">
        <v>4</v>
      </c>
      <c r="N16" s="6">
        <v>4</v>
      </c>
      <c r="O16" s="6">
        <f t="shared" si="0"/>
        <v>3.88</v>
      </c>
      <c r="P16" s="6">
        <f t="array" ref="P16">IF(B16="","",ROUND((SUMPRODUCT('Semester 1'!D16:I16,{4,3,3,3,3,0})+SUMPRODUCT('Semester 2'!D16:I16,{4,3,3,3,4,0})+SUMPRODUCT(D16:N16,{3,1,2,1,2,2,1,2,1,2,2}))/52,2))</f>
        <v>3.73</v>
      </c>
      <c r="Q16" s="4" t="s">
        <v>17</v>
      </c>
    </row>
    <row r="17" spans="1:17" ht="14.25" customHeight="1">
      <c r="A17" s="4">
        <v>11</v>
      </c>
      <c r="B17" s="4" t="s">
        <v>37</v>
      </c>
      <c r="C17" s="5" t="s">
        <v>38</v>
      </c>
      <c r="D17" s="6">
        <v>4</v>
      </c>
      <c r="E17" s="6">
        <v>3.7</v>
      </c>
      <c r="F17" s="6">
        <v>4</v>
      </c>
      <c r="G17" s="6">
        <v>4</v>
      </c>
      <c r="H17" s="6">
        <v>4</v>
      </c>
      <c r="I17" s="6">
        <v>4</v>
      </c>
      <c r="J17" s="6">
        <v>4</v>
      </c>
      <c r="K17" s="6">
        <v>2.2000000000000002</v>
      </c>
      <c r="L17" s="6">
        <v>4</v>
      </c>
      <c r="M17" s="6">
        <v>3.9</v>
      </c>
      <c r="N17" s="6">
        <v>3.1</v>
      </c>
      <c r="O17" s="6">
        <f t="shared" si="0"/>
        <v>3.69</v>
      </c>
      <c r="P17" s="6">
        <f t="array" ref="P17">IF(B17="","",ROUND((SUMPRODUCT('Semester 1'!D17:I17,{4,3,3,3,3,0})+SUMPRODUCT('Semester 2'!D17:I17,{4,3,3,3,4,0})+SUMPRODUCT(D17:N17,{3,1,2,1,2,2,1,2,1,2,2}))/52,2))</f>
        <v>3.4</v>
      </c>
      <c r="Q17" s="4" t="s">
        <v>17</v>
      </c>
    </row>
    <row r="18" spans="1:17" ht="14.25" customHeight="1">
      <c r="A18" s="4">
        <v>12</v>
      </c>
      <c r="B18" s="4" t="s">
        <v>39</v>
      </c>
      <c r="C18" s="5" t="s">
        <v>40</v>
      </c>
      <c r="D18" s="6">
        <v>4</v>
      </c>
      <c r="E18" s="6">
        <v>4</v>
      </c>
      <c r="F18" s="6">
        <v>4</v>
      </c>
      <c r="G18" s="6">
        <v>4</v>
      </c>
      <c r="H18" s="6">
        <v>4</v>
      </c>
      <c r="I18" s="6">
        <v>4</v>
      </c>
      <c r="J18" s="6">
        <v>4</v>
      </c>
      <c r="K18" s="6">
        <v>3.9</v>
      </c>
      <c r="L18" s="6">
        <v>4</v>
      </c>
      <c r="M18" s="6">
        <v>4</v>
      </c>
      <c r="N18" s="6">
        <v>4</v>
      </c>
      <c r="O18" s="6">
        <f t="shared" si="0"/>
        <v>3.99</v>
      </c>
      <c r="P18" s="6">
        <f t="array" ref="P18">IF(B18="","",ROUND((SUMPRODUCT('Semester 1'!D18:I18,{4,3,3,3,3,0})+SUMPRODUCT('Semester 2'!D18:I18,{4,3,3,3,4,0})+SUMPRODUCT(D18:N18,{3,1,2,1,2,2,1,2,1,2,2}))/52,2))</f>
        <v>3.84</v>
      </c>
      <c r="Q18" s="4" t="s">
        <v>17</v>
      </c>
    </row>
    <row r="19" spans="1:17" ht="14.25" customHeight="1">
      <c r="A19" s="4">
        <v>13</v>
      </c>
      <c r="B19" s="4" t="s">
        <v>41</v>
      </c>
      <c r="C19" s="5" t="s">
        <v>42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f t="shared" si="0"/>
        <v>0</v>
      </c>
      <c r="P19" s="6">
        <f t="array" ref="P19">IF(B19="","",ROUND((SUMPRODUCT('Semester 1'!D19:I19,{4,3,3,3,3,0})+SUMPRODUCT('Semester 2'!D19:I19,{4,3,3,3,4,0})+SUMPRODUCT(D19:N19,{3,1,2,1,2,2,1,2,1,2,2}))/52,2))</f>
        <v>0.41</v>
      </c>
      <c r="Q19" s="4" t="s">
        <v>43</v>
      </c>
    </row>
    <row r="20" spans="1:17" ht="14.25" customHeight="1">
      <c r="A20" s="4">
        <v>14</v>
      </c>
      <c r="B20" s="4" t="s">
        <v>44</v>
      </c>
      <c r="C20" s="5" t="s">
        <v>45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f t="shared" si="0"/>
        <v>0</v>
      </c>
      <c r="P20" s="6">
        <f t="array" ref="P20">IF(B20="","",ROUND((SUMPRODUCT('Semester 1'!D20:I20,{4,3,3,3,3,0})+SUMPRODUCT('Semester 2'!D20:I20,{4,3,3,3,4,0})+SUMPRODUCT(D20:N20,{3,1,2,1,2,2,1,2,1,2,2}))/52,2))</f>
        <v>0</v>
      </c>
      <c r="Q20" s="4" t="s">
        <v>43</v>
      </c>
    </row>
    <row r="21" spans="1:17" ht="14.25" customHeight="1">
      <c r="A21" s="4">
        <v>15</v>
      </c>
      <c r="B21" s="4" t="s">
        <v>46</v>
      </c>
      <c r="C21" s="5" t="s">
        <v>47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f t="shared" si="0"/>
        <v>0</v>
      </c>
      <c r="P21" s="6">
        <f t="array" ref="P21">IF(B21="","",ROUND((SUMPRODUCT('Semester 1'!D21:I21,{4,3,3,3,3,0})+SUMPRODUCT('Semester 2'!D21:I21,{4,3,3,3,4,0})+SUMPRODUCT(D21:N21,{3,1,2,1,2,2,1,2,1,2,2}))/52,2))</f>
        <v>0</v>
      </c>
      <c r="Q21" s="4" t="s">
        <v>43</v>
      </c>
    </row>
    <row r="22" spans="1:17" ht="14.25" customHeight="1">
      <c r="A22" s="4">
        <v>16</v>
      </c>
      <c r="B22" s="4" t="s">
        <v>48</v>
      </c>
      <c r="C22" s="5" t="s">
        <v>49</v>
      </c>
      <c r="D22" s="6">
        <v>3.2</v>
      </c>
      <c r="E22" s="6">
        <v>3.2</v>
      </c>
      <c r="F22" s="6">
        <v>3.9</v>
      </c>
      <c r="G22" s="6">
        <v>2</v>
      </c>
      <c r="H22" s="6">
        <v>4</v>
      </c>
      <c r="I22" s="6">
        <v>4</v>
      </c>
      <c r="J22" s="6">
        <v>4</v>
      </c>
      <c r="K22" s="6">
        <v>3.7</v>
      </c>
      <c r="L22" s="6">
        <v>2</v>
      </c>
      <c r="M22" s="6">
        <v>3.7</v>
      </c>
      <c r="N22" s="6">
        <v>3.7</v>
      </c>
      <c r="O22" s="6">
        <f t="shared" si="0"/>
        <v>3.52</v>
      </c>
      <c r="P22" s="6">
        <f t="array" ref="P22">IF(B22="","",ROUND((SUMPRODUCT('Semester 1'!D22:I22,{4,3,3,3,3,0})+SUMPRODUCT('Semester 2'!D22:I22,{4,3,3,3,4,0})+SUMPRODUCT(D22:N22,{3,1,2,1,2,2,1,2,1,2,2}))/52,2))</f>
        <v>3.51</v>
      </c>
      <c r="Q22" s="4" t="s">
        <v>17</v>
      </c>
    </row>
    <row r="23" spans="1:17" ht="14.25" customHeight="1">
      <c r="A23" s="4">
        <v>17</v>
      </c>
      <c r="B23" s="4" t="s">
        <v>50</v>
      </c>
      <c r="C23" s="5" t="s">
        <v>51</v>
      </c>
      <c r="D23" s="6">
        <v>4</v>
      </c>
      <c r="E23" s="6">
        <v>3.7</v>
      </c>
      <c r="F23" s="6">
        <v>4</v>
      </c>
      <c r="G23" s="6">
        <v>4</v>
      </c>
      <c r="H23" s="6">
        <v>3.7</v>
      </c>
      <c r="I23" s="6">
        <v>4</v>
      </c>
      <c r="J23" s="6">
        <v>4</v>
      </c>
      <c r="K23" s="6">
        <v>4</v>
      </c>
      <c r="L23" s="6">
        <v>4</v>
      </c>
      <c r="M23" s="6">
        <v>3.8</v>
      </c>
      <c r="N23" s="6">
        <v>4</v>
      </c>
      <c r="O23" s="6">
        <f t="shared" si="0"/>
        <v>3.93</v>
      </c>
      <c r="P23" s="6">
        <f t="array" ref="P23">IF(B23="","",ROUND((SUMPRODUCT('Semester 1'!D23:I23,{4,3,3,3,3,0})+SUMPRODUCT('Semester 2'!D23:I23,{4,3,3,3,4,0})+SUMPRODUCT(D23:N23,{3,1,2,1,2,2,1,2,1,2,2}))/52,2))</f>
        <v>3.83</v>
      </c>
      <c r="Q23" s="4" t="s">
        <v>17</v>
      </c>
    </row>
    <row r="24" spans="1:17" ht="14.25" customHeight="1">
      <c r="A24" s="4">
        <v>18</v>
      </c>
      <c r="B24" s="4" t="s">
        <v>52</v>
      </c>
      <c r="C24" s="5" t="s">
        <v>53</v>
      </c>
      <c r="D24" s="6">
        <v>3.7</v>
      </c>
      <c r="E24" s="6">
        <v>4</v>
      </c>
      <c r="F24" s="6">
        <v>3.1</v>
      </c>
      <c r="G24" s="6">
        <v>3.7</v>
      </c>
      <c r="H24" s="6">
        <v>4</v>
      </c>
      <c r="I24" s="6">
        <v>3.8</v>
      </c>
      <c r="J24" s="6">
        <v>3.6</v>
      </c>
      <c r="K24" s="6">
        <v>2.2999999999999998</v>
      </c>
      <c r="L24" s="6">
        <v>3.7</v>
      </c>
      <c r="M24" s="6">
        <v>3.1</v>
      </c>
      <c r="N24" s="6">
        <v>3.3</v>
      </c>
      <c r="O24" s="6">
        <f t="shared" si="0"/>
        <v>3.44</v>
      </c>
      <c r="P24" s="6">
        <f t="array" ref="P24">IF(B24="","",ROUND((SUMPRODUCT('Semester 1'!D24:I24,{4,3,3,3,3,0})+SUMPRODUCT('Semester 2'!D24:I24,{4,3,3,3,4,0})+SUMPRODUCT(D24:N24,{3,1,2,1,2,2,1,2,1,2,2}))/52,2))</f>
        <v>3.27</v>
      </c>
      <c r="Q24" s="4" t="s">
        <v>17</v>
      </c>
    </row>
    <row r="25" spans="1:17" ht="14.25" customHeight="1">
      <c r="A25" s="4">
        <v>19</v>
      </c>
      <c r="B25" s="4" t="s">
        <v>54</v>
      </c>
      <c r="C25" s="5" t="s">
        <v>55</v>
      </c>
      <c r="D25" s="6">
        <v>2.9</v>
      </c>
      <c r="E25" s="6">
        <v>3.5</v>
      </c>
      <c r="F25" s="6">
        <v>4</v>
      </c>
      <c r="G25" s="6">
        <v>4</v>
      </c>
      <c r="H25" s="6">
        <v>3.7</v>
      </c>
      <c r="I25" s="6">
        <v>4</v>
      </c>
      <c r="J25" s="6">
        <v>4</v>
      </c>
      <c r="K25" s="6">
        <v>2.8</v>
      </c>
      <c r="L25" s="6">
        <v>3.3</v>
      </c>
      <c r="M25" s="6">
        <v>3.1</v>
      </c>
      <c r="N25" s="6">
        <v>4</v>
      </c>
      <c r="O25" s="6">
        <f t="shared" si="0"/>
        <v>3.51</v>
      </c>
      <c r="P25" s="6">
        <f t="array" ref="P25">IF(B25="","",ROUND((SUMPRODUCT('Semester 1'!D25:I25,{4,3,3,3,3,0})+SUMPRODUCT('Semester 2'!D25:I25,{4,3,3,3,4,0})+SUMPRODUCT(D25:N25,{3,1,2,1,2,2,1,2,1,2,2}))/52,2))</f>
        <v>3.46</v>
      </c>
      <c r="Q25" s="4" t="s">
        <v>17</v>
      </c>
    </row>
    <row r="26" spans="1:17" ht="14.25" customHeight="1">
      <c r="A26" s="4">
        <v>20</v>
      </c>
      <c r="B26" s="4" t="s">
        <v>56</v>
      </c>
      <c r="C26" s="5" t="s">
        <v>57</v>
      </c>
      <c r="D26" s="6">
        <v>3.2</v>
      </c>
      <c r="E26" s="6">
        <v>4</v>
      </c>
      <c r="F26" s="6">
        <v>2.4</v>
      </c>
      <c r="G26" s="6">
        <v>3.3</v>
      </c>
      <c r="H26" s="6">
        <v>3.3</v>
      </c>
      <c r="I26" s="6">
        <v>3.5</v>
      </c>
      <c r="J26" s="6">
        <v>3.1</v>
      </c>
      <c r="K26" s="6">
        <v>2.4</v>
      </c>
      <c r="L26" s="6">
        <v>3.3</v>
      </c>
      <c r="M26" s="6">
        <v>3</v>
      </c>
      <c r="N26" s="6">
        <v>2.5</v>
      </c>
      <c r="O26" s="6">
        <f t="shared" si="0"/>
        <v>3.03</v>
      </c>
      <c r="P26" s="6">
        <f t="array" ref="P26">IF(B26="","",ROUND((SUMPRODUCT('Semester 1'!D26:I26,{4,3,3,3,3,0})+SUMPRODUCT('Semester 2'!D26:I26,{4,3,3,3,4,0})+SUMPRODUCT(D26:N26,{3,1,2,1,2,2,1,2,1,2,2}))/52,2))</f>
        <v>2.97</v>
      </c>
      <c r="Q26" s="4" t="s">
        <v>17</v>
      </c>
    </row>
    <row r="27" spans="1:17" ht="14.25" customHeight="1">
      <c r="A27" s="4">
        <v>21</v>
      </c>
      <c r="B27" s="4" t="s">
        <v>58</v>
      </c>
      <c r="C27" s="5" t="s">
        <v>59</v>
      </c>
      <c r="D27" s="6">
        <v>3.7</v>
      </c>
      <c r="E27" s="6">
        <v>3.7</v>
      </c>
      <c r="F27" s="6">
        <v>3.6</v>
      </c>
      <c r="G27" s="6">
        <v>4</v>
      </c>
      <c r="H27" s="6">
        <v>4</v>
      </c>
      <c r="I27" s="6">
        <v>4</v>
      </c>
      <c r="J27" s="6">
        <v>4</v>
      </c>
      <c r="K27" s="6">
        <v>2.9</v>
      </c>
      <c r="L27" s="6">
        <v>4</v>
      </c>
      <c r="M27" s="6">
        <v>4</v>
      </c>
      <c r="N27" s="6">
        <v>3.3</v>
      </c>
      <c r="O27" s="6">
        <f t="shared" si="0"/>
        <v>3.71</v>
      </c>
      <c r="P27" s="6">
        <f t="array" ref="P27">IF(B27="","",ROUND((SUMPRODUCT('Semester 1'!D27:I27,{4,3,3,3,3,0})+SUMPRODUCT('Semester 2'!D27:I27,{4,3,3,3,4,0})+SUMPRODUCT(D27:N27,{3,1,2,1,2,2,1,2,1,2,2}))/52,2))</f>
        <v>3.5</v>
      </c>
      <c r="Q27" s="4" t="s">
        <v>17</v>
      </c>
    </row>
    <row r="28" spans="1:17" ht="14.25" customHeight="1">
      <c r="A28" s="4">
        <v>22</v>
      </c>
      <c r="B28" s="4" t="s">
        <v>60</v>
      </c>
      <c r="C28" s="5" t="s">
        <v>61</v>
      </c>
      <c r="D28" s="6">
        <v>3.5</v>
      </c>
      <c r="E28" s="6">
        <v>3.7</v>
      </c>
      <c r="F28" s="6">
        <v>3.2</v>
      </c>
      <c r="G28" s="6">
        <v>4</v>
      </c>
      <c r="H28" s="6">
        <v>4</v>
      </c>
      <c r="I28" s="6">
        <v>2.9</v>
      </c>
      <c r="J28" s="6">
        <v>2.7</v>
      </c>
      <c r="K28" s="6">
        <v>2.1</v>
      </c>
      <c r="L28" s="6">
        <v>4</v>
      </c>
      <c r="M28" s="6">
        <v>3.1</v>
      </c>
      <c r="N28" s="6">
        <v>3</v>
      </c>
      <c r="O28" s="6">
        <f t="shared" si="0"/>
        <v>3.24</v>
      </c>
      <c r="P28" s="6">
        <f t="array" ref="P28">IF(B28="","",ROUND((SUMPRODUCT('Semester 1'!D28:I28,{4,3,3,3,3,0})+SUMPRODUCT('Semester 2'!D28:I28,{4,3,3,3,4,0})+SUMPRODUCT(D28:N28,{3,1,2,1,2,2,1,2,1,2,2}))/52,2))</f>
        <v>3.23</v>
      </c>
      <c r="Q28" s="4" t="s">
        <v>17</v>
      </c>
    </row>
    <row r="29" spans="1:17" ht="14.25" customHeight="1">
      <c r="A29" s="4">
        <v>23</v>
      </c>
      <c r="B29" s="4" t="s">
        <v>62</v>
      </c>
      <c r="C29" s="5" t="s">
        <v>63</v>
      </c>
      <c r="D29" s="6">
        <v>4</v>
      </c>
      <c r="E29" s="6">
        <v>3.7</v>
      </c>
      <c r="F29" s="6">
        <v>3.5</v>
      </c>
      <c r="G29" s="6">
        <v>4</v>
      </c>
      <c r="H29" s="6">
        <v>4</v>
      </c>
      <c r="I29" s="6">
        <v>4</v>
      </c>
      <c r="J29" s="6">
        <v>4</v>
      </c>
      <c r="K29" s="6">
        <v>2.5</v>
      </c>
      <c r="L29" s="6">
        <v>3</v>
      </c>
      <c r="M29" s="6">
        <v>3.7</v>
      </c>
      <c r="N29" s="6">
        <v>3.6</v>
      </c>
      <c r="O29" s="6">
        <f t="shared" si="0"/>
        <v>3.65</v>
      </c>
      <c r="P29" s="6">
        <f t="array" ref="P29">IF(B29="","",ROUND((SUMPRODUCT('Semester 1'!D29:I29,{4,3,3,3,3,0})+SUMPRODUCT('Semester 2'!D29:I29,{4,3,3,3,4,0})+SUMPRODUCT(D29:N29,{3,1,2,1,2,2,1,2,1,2,2}))/52,2))</f>
        <v>3.59</v>
      </c>
      <c r="Q29" s="4" t="s">
        <v>17</v>
      </c>
    </row>
    <row r="30" spans="1:17" ht="14.25" customHeight="1">
      <c r="A30" s="4">
        <v>24</v>
      </c>
      <c r="B30" s="4" t="s">
        <v>64</v>
      </c>
      <c r="C30" s="5" t="s">
        <v>65</v>
      </c>
      <c r="D30" s="6">
        <v>3.5</v>
      </c>
      <c r="E30" s="6">
        <v>3.5</v>
      </c>
      <c r="F30" s="6">
        <v>3.5</v>
      </c>
      <c r="G30" s="6">
        <v>3.7</v>
      </c>
      <c r="H30" s="6">
        <v>3.7</v>
      </c>
      <c r="I30" s="6">
        <v>4</v>
      </c>
      <c r="J30" s="6">
        <v>4</v>
      </c>
      <c r="K30" s="6">
        <v>2.8</v>
      </c>
      <c r="L30" s="6">
        <v>2.7</v>
      </c>
      <c r="M30" s="6">
        <v>3.5</v>
      </c>
      <c r="N30" s="6">
        <v>3.6</v>
      </c>
      <c r="O30" s="6">
        <f t="shared" si="0"/>
        <v>3.51</v>
      </c>
      <c r="P30" s="6">
        <f t="array" ref="P30">IF(B30="","",ROUND((SUMPRODUCT('Semester 1'!D30:I30,{4,3,3,3,3,0})+SUMPRODUCT('Semester 2'!D30:I30,{4,3,3,3,4,0})+SUMPRODUCT(D30:N30,{3,1,2,1,2,2,1,2,1,2,2}))/52,2))</f>
        <v>3.33</v>
      </c>
      <c r="Q30" s="4" t="s">
        <v>17</v>
      </c>
    </row>
    <row r="31" spans="1:17" ht="14.25" customHeight="1">
      <c r="A31" s="4">
        <v>25</v>
      </c>
      <c r="B31" s="4" t="s">
        <v>66</v>
      </c>
      <c r="C31" s="5" t="s">
        <v>67</v>
      </c>
      <c r="D31" s="6">
        <v>3.5</v>
      </c>
      <c r="E31" s="6">
        <v>3</v>
      </c>
      <c r="F31" s="6">
        <v>3</v>
      </c>
      <c r="G31" s="6">
        <v>3.7</v>
      </c>
      <c r="H31" s="6">
        <v>3.7</v>
      </c>
      <c r="I31" s="6">
        <v>3.8</v>
      </c>
      <c r="J31" s="6">
        <v>4</v>
      </c>
      <c r="K31" s="6">
        <v>2.2000000000000002</v>
      </c>
      <c r="L31" s="6">
        <v>2.2999999999999998</v>
      </c>
      <c r="M31" s="6">
        <v>3.3</v>
      </c>
      <c r="N31" s="6">
        <v>3.1</v>
      </c>
      <c r="O31" s="6">
        <f t="shared" si="0"/>
        <v>3.25</v>
      </c>
      <c r="P31" s="6">
        <f t="array" ref="P31">IF(B31="","",ROUND((SUMPRODUCT('Semester 1'!D31:I31,{4,3,3,3,3,0})+SUMPRODUCT('Semester 2'!D31:I31,{4,3,3,3,4,0})+SUMPRODUCT(D31:N31,{3,1,2,1,2,2,1,2,1,2,2}))/52,2))</f>
        <v>3.21</v>
      </c>
      <c r="Q31" s="4" t="s">
        <v>17</v>
      </c>
    </row>
    <row r="32" spans="1:17" ht="14.25" customHeight="1">
      <c r="A32" s="4">
        <v>26</v>
      </c>
      <c r="B32" s="4" t="s">
        <v>68</v>
      </c>
      <c r="C32" s="5" t="s">
        <v>69</v>
      </c>
      <c r="D32" s="6">
        <v>3.2</v>
      </c>
      <c r="E32" s="6">
        <v>3.5</v>
      </c>
      <c r="F32" s="6">
        <v>3.1</v>
      </c>
      <c r="G32" s="6">
        <v>3.3</v>
      </c>
      <c r="H32" s="6">
        <v>3.7</v>
      </c>
      <c r="I32" s="6">
        <v>3.8</v>
      </c>
      <c r="J32" s="6">
        <v>3.8</v>
      </c>
      <c r="K32" s="6">
        <v>2</v>
      </c>
      <c r="L32" s="6">
        <v>3.3</v>
      </c>
      <c r="M32" s="6">
        <v>4</v>
      </c>
      <c r="N32" s="6">
        <v>3.3</v>
      </c>
      <c r="O32" s="6">
        <f t="shared" si="0"/>
        <v>3.33</v>
      </c>
      <c r="P32" s="6">
        <f t="array" ref="P32">IF(B32="","",ROUND((SUMPRODUCT('Semester 1'!D32:I32,{4,3,3,3,3,0})+SUMPRODUCT('Semester 2'!D32:I32,{4,3,3,3,4,0})+SUMPRODUCT(D32:N32,{3,1,2,1,2,2,1,2,1,2,2}))/52,2))</f>
        <v>3.21</v>
      </c>
      <c r="Q32" s="4" t="s">
        <v>17</v>
      </c>
    </row>
    <row r="33" spans="1:17" ht="14.25" customHeight="1">
      <c r="A33" s="4">
        <v>27</v>
      </c>
      <c r="B33" s="4" t="s">
        <v>70</v>
      </c>
      <c r="C33" s="5" t="s">
        <v>71</v>
      </c>
      <c r="D33" s="6">
        <v>3</v>
      </c>
      <c r="E33" s="6">
        <v>3.3</v>
      </c>
      <c r="F33" s="6">
        <v>3.1</v>
      </c>
      <c r="G33" s="6">
        <v>4</v>
      </c>
      <c r="H33" s="6">
        <v>4</v>
      </c>
      <c r="I33" s="6">
        <v>4</v>
      </c>
      <c r="J33" s="6">
        <v>4</v>
      </c>
      <c r="K33" s="6">
        <v>2.7</v>
      </c>
      <c r="L33" s="6">
        <v>3.9</v>
      </c>
      <c r="M33" s="6">
        <v>3.1</v>
      </c>
      <c r="N33" s="6">
        <v>3.4</v>
      </c>
      <c r="O33" s="6">
        <f t="shared" si="0"/>
        <v>3.41</v>
      </c>
      <c r="P33" s="6">
        <f t="array" ref="P33">IF(B33="","",ROUND((SUMPRODUCT('Semester 1'!D33:I33,{4,3,3,3,3,0})+SUMPRODUCT('Semester 2'!D33:I33,{4,3,3,3,4,0})+SUMPRODUCT(D33:N33,{3,1,2,1,2,2,1,2,1,2,2}))/52,2))</f>
        <v>3.09</v>
      </c>
      <c r="Q33" s="4" t="s">
        <v>17</v>
      </c>
    </row>
    <row r="34" spans="1:17" ht="14.25" customHeight="1">
      <c r="A34" s="4">
        <v>28</v>
      </c>
      <c r="B34" s="4" t="s">
        <v>72</v>
      </c>
      <c r="C34" s="5" t="s">
        <v>73</v>
      </c>
      <c r="D34" s="6">
        <v>4</v>
      </c>
      <c r="E34" s="6">
        <v>3.5</v>
      </c>
      <c r="F34" s="6">
        <v>3.5</v>
      </c>
      <c r="G34" s="6">
        <v>4</v>
      </c>
      <c r="H34" s="6">
        <v>3.7</v>
      </c>
      <c r="I34" s="6">
        <v>3.9</v>
      </c>
      <c r="J34" s="6">
        <v>4</v>
      </c>
      <c r="K34" s="6">
        <v>4</v>
      </c>
      <c r="L34" s="6">
        <v>4</v>
      </c>
      <c r="M34" s="6">
        <v>3.3</v>
      </c>
      <c r="N34" s="6">
        <v>3.4</v>
      </c>
      <c r="O34" s="6">
        <f t="shared" si="0"/>
        <v>3.74</v>
      </c>
      <c r="P34" s="6">
        <f t="array" ref="P34">IF(B34="","",ROUND((SUMPRODUCT('Semester 1'!D34:I34,{4,3,3,3,3,0})+SUMPRODUCT('Semester 2'!D34:I34,{4,3,3,3,4,0})+SUMPRODUCT(D34:N34,{3,1,2,1,2,2,1,2,1,2,2}))/52,2))</f>
        <v>3.66</v>
      </c>
      <c r="Q34" s="4" t="s">
        <v>17</v>
      </c>
    </row>
    <row r="35" spans="1:17" ht="14.25" customHeight="1">
      <c r="A35" s="4">
        <v>29</v>
      </c>
      <c r="B35" s="4" t="s">
        <v>74</v>
      </c>
      <c r="C35" s="5" t="s">
        <v>75</v>
      </c>
      <c r="D35" s="6">
        <v>0</v>
      </c>
      <c r="E35" s="6">
        <v>3.8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f t="shared" si="0"/>
        <v>0.2</v>
      </c>
      <c r="P35" s="6">
        <f t="array" ref="P35">IF(B35="","",ROUND((SUMPRODUCT('Semester 1'!D35:I35,{4,3,3,3,3,0})+SUMPRODUCT('Semester 2'!D35:I35,{4,3,3,3,4,0})+SUMPRODUCT(D35:N35,{3,1,2,1,2,2,1,2,1,2,2}))/52,2))</f>
        <v>2.0299999999999998</v>
      </c>
      <c r="Q35" s="4" t="s">
        <v>43</v>
      </c>
    </row>
    <row r="36" spans="1:17" ht="14.25" customHeight="1">
      <c r="A36" s="4">
        <v>30</v>
      </c>
      <c r="B36" s="4" t="s">
        <v>76</v>
      </c>
      <c r="C36" s="5" t="s">
        <v>77</v>
      </c>
      <c r="D36" s="6">
        <v>2.6</v>
      </c>
      <c r="E36" s="6">
        <v>4</v>
      </c>
      <c r="F36" s="6">
        <v>2.5</v>
      </c>
      <c r="G36" s="6">
        <v>3.3</v>
      </c>
      <c r="H36" s="6">
        <v>3.3</v>
      </c>
      <c r="I36" s="6">
        <v>3.5</v>
      </c>
      <c r="J36" s="6">
        <v>0</v>
      </c>
      <c r="K36" s="6">
        <v>2.5</v>
      </c>
      <c r="L36" s="6">
        <v>2.2999999999999998</v>
      </c>
      <c r="M36" s="6">
        <v>3.1</v>
      </c>
      <c r="N36" s="6">
        <v>3.2</v>
      </c>
      <c r="O36" s="6">
        <f t="shared" si="0"/>
        <v>2.82</v>
      </c>
      <c r="P36" s="6">
        <f t="array" ref="P36">IF(B36="","",ROUND((SUMPRODUCT('Semester 1'!D36:I36,{4,3,3,3,3,0})+SUMPRODUCT('Semester 2'!D36:I36,{4,3,3,3,4,0})+SUMPRODUCT(D36:N36,{3,1,2,1,2,2,1,2,1,2,2}))/52,2))</f>
        <v>2.68</v>
      </c>
      <c r="Q36" s="4" t="s">
        <v>17</v>
      </c>
    </row>
    <row r="37" spans="1:17" ht="14.25" customHeight="1">
      <c r="A37" s="4">
        <v>31</v>
      </c>
      <c r="B37" s="4" t="s">
        <v>78</v>
      </c>
      <c r="C37" s="5" t="s">
        <v>79</v>
      </c>
      <c r="D37" s="6">
        <v>4</v>
      </c>
      <c r="E37" s="6">
        <v>4</v>
      </c>
      <c r="F37" s="6">
        <v>4</v>
      </c>
      <c r="G37" s="6">
        <v>3.3</v>
      </c>
      <c r="H37" s="6">
        <v>3.9</v>
      </c>
      <c r="I37" s="6">
        <v>4</v>
      </c>
      <c r="J37" s="6">
        <v>4</v>
      </c>
      <c r="K37" s="6">
        <v>4</v>
      </c>
      <c r="L37" s="6">
        <v>4</v>
      </c>
      <c r="M37" s="6">
        <v>3.7</v>
      </c>
      <c r="N37" s="6">
        <v>4</v>
      </c>
      <c r="O37" s="6">
        <f t="shared" si="0"/>
        <v>3.92</v>
      </c>
      <c r="P37" s="6">
        <f t="array" ref="P37">IF(B37="","",ROUND((SUMPRODUCT('Semester 1'!D37:I37,{4,3,3,3,3,0})+SUMPRODUCT('Semester 2'!D37:I37,{4,3,3,3,4,0})+SUMPRODUCT(D37:N37,{3,1,2,1,2,2,1,2,1,2,2}))/52,2))</f>
        <v>3.91</v>
      </c>
      <c r="Q37" s="4" t="s">
        <v>17</v>
      </c>
    </row>
    <row r="38" spans="1:17" ht="14.25" customHeight="1">
      <c r="A38" s="4">
        <v>32</v>
      </c>
      <c r="B38" s="4" t="s">
        <v>80</v>
      </c>
      <c r="C38" s="5" t="s">
        <v>81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f t="shared" si="0"/>
        <v>0</v>
      </c>
      <c r="P38" s="6">
        <f t="array" ref="P38">IF(B38="","",ROUND((SUMPRODUCT('Semester 1'!D38:I38,{4,3,3,3,3,0})+SUMPRODUCT('Semester 2'!D38:I38,{4,3,3,3,4,0})+SUMPRODUCT(D38:N38,{3,1,2,1,2,2,1,2,1,2,2}))/52,2))</f>
        <v>1.2</v>
      </c>
      <c r="Q38" s="4" t="s">
        <v>43</v>
      </c>
    </row>
    <row r="39" spans="1:17" ht="14.25" customHeight="1">
      <c r="A39" s="4">
        <v>33</v>
      </c>
      <c r="B39" s="4" t="s">
        <v>82</v>
      </c>
      <c r="C39" s="5" t="s">
        <v>83</v>
      </c>
      <c r="D39" s="6">
        <v>3.7</v>
      </c>
      <c r="E39" s="6">
        <v>3.9</v>
      </c>
      <c r="F39" s="6">
        <v>4</v>
      </c>
      <c r="G39" s="6">
        <v>4</v>
      </c>
      <c r="H39" s="6">
        <v>3.4</v>
      </c>
      <c r="I39" s="6">
        <v>4</v>
      </c>
      <c r="J39" s="6">
        <v>4</v>
      </c>
      <c r="K39" s="6">
        <v>4</v>
      </c>
      <c r="L39" s="6">
        <v>4</v>
      </c>
      <c r="M39" s="6">
        <v>3.9</v>
      </c>
      <c r="N39" s="6">
        <v>3.7</v>
      </c>
      <c r="O39" s="6">
        <f t="shared" si="0"/>
        <v>3.84</v>
      </c>
      <c r="P39" s="6">
        <f t="array" ref="P39">IF(B39="","",ROUND((SUMPRODUCT('Semester 1'!D39:I39,{4,3,3,3,3,0})+SUMPRODUCT('Semester 2'!D39:I39,{4,3,3,3,4,0})+SUMPRODUCT(D39:N39,{3,1,2,1,2,2,1,2,1,2,2}))/52,2))</f>
        <v>3.63</v>
      </c>
      <c r="Q39" s="4" t="s">
        <v>17</v>
      </c>
    </row>
    <row r="40" spans="1:17" ht="14.25" customHeight="1">
      <c r="A40" s="4">
        <v>34</v>
      </c>
      <c r="B40" s="4" t="s">
        <v>84</v>
      </c>
      <c r="C40" s="5" t="s">
        <v>85</v>
      </c>
      <c r="D40" s="6">
        <v>3.7</v>
      </c>
      <c r="E40" s="6">
        <v>4</v>
      </c>
      <c r="F40" s="6">
        <v>3.7</v>
      </c>
      <c r="G40" s="6">
        <v>3.3</v>
      </c>
      <c r="H40" s="6">
        <v>3.3</v>
      </c>
      <c r="I40" s="6">
        <v>4</v>
      </c>
      <c r="J40" s="6">
        <v>4</v>
      </c>
      <c r="K40" s="6">
        <v>3.4</v>
      </c>
      <c r="L40" s="6">
        <v>4</v>
      </c>
      <c r="M40" s="6">
        <v>3.1</v>
      </c>
      <c r="N40" s="6">
        <v>3.3</v>
      </c>
      <c r="O40" s="6">
        <f t="shared" si="0"/>
        <v>3.58</v>
      </c>
      <c r="P40" s="6">
        <f t="array" ref="P40">IF(B40="","",ROUND((SUMPRODUCT('Semester 1'!D40:I40,{4,3,3,3,3,0})+SUMPRODUCT('Semester 2'!D40:I40,{4,3,3,3,4,0})+SUMPRODUCT(D40:N40,{3,1,2,1,2,2,1,2,1,2,2}))/52,2))</f>
        <v>3.25</v>
      </c>
      <c r="Q40" s="4" t="s">
        <v>17</v>
      </c>
    </row>
    <row r="41" spans="1:17" ht="14.25" customHeight="1">
      <c r="A41" s="4">
        <v>35</v>
      </c>
      <c r="B41" s="4" t="s">
        <v>86</v>
      </c>
      <c r="C41" s="5" t="s">
        <v>87</v>
      </c>
      <c r="D41" s="6">
        <v>3.5</v>
      </c>
      <c r="E41" s="6">
        <v>3.7</v>
      </c>
      <c r="F41" s="6">
        <v>3</v>
      </c>
      <c r="G41" s="6">
        <v>4</v>
      </c>
      <c r="H41" s="6">
        <v>3.5</v>
      </c>
      <c r="I41" s="6">
        <v>3.9</v>
      </c>
      <c r="J41" s="6">
        <v>4</v>
      </c>
      <c r="K41" s="6">
        <v>2</v>
      </c>
      <c r="L41" s="6">
        <v>2</v>
      </c>
      <c r="M41" s="6">
        <v>3.1</v>
      </c>
      <c r="N41" s="6">
        <v>2.9</v>
      </c>
      <c r="O41" s="6">
        <f t="shared" si="0"/>
        <v>3.21</v>
      </c>
      <c r="P41" s="6">
        <f t="array" ref="P41">IF(B41="","",ROUND((SUMPRODUCT('Semester 1'!D41:I41,{4,3,3,3,3,0})+SUMPRODUCT('Semester 2'!D41:I41,{4,3,3,3,4,0})+SUMPRODUCT(D41:N41,{3,1,2,1,2,2,1,2,1,2,2}))/52,2))</f>
        <v>3.06</v>
      </c>
      <c r="Q41" s="4" t="s">
        <v>17</v>
      </c>
    </row>
    <row r="42" spans="1:17" ht="14.25" customHeight="1">
      <c r="A42" s="4">
        <v>36</v>
      </c>
      <c r="B42" s="4" t="s">
        <v>88</v>
      </c>
      <c r="C42" s="5" t="s">
        <v>89</v>
      </c>
      <c r="D42" s="6">
        <v>4</v>
      </c>
      <c r="E42" s="6">
        <v>4</v>
      </c>
      <c r="F42" s="6">
        <v>3.7</v>
      </c>
      <c r="G42" s="6">
        <v>4</v>
      </c>
      <c r="H42" s="6">
        <v>4</v>
      </c>
      <c r="I42" s="6">
        <v>4</v>
      </c>
      <c r="J42" s="6">
        <v>4</v>
      </c>
      <c r="K42" s="6">
        <v>3.7</v>
      </c>
      <c r="L42" s="6">
        <v>4</v>
      </c>
      <c r="M42" s="6">
        <v>4</v>
      </c>
      <c r="N42" s="6">
        <v>3.6</v>
      </c>
      <c r="O42" s="6">
        <f t="shared" si="0"/>
        <v>3.89</v>
      </c>
      <c r="P42" s="6">
        <f t="array" ref="P42">IF(B42="","",ROUND((SUMPRODUCT('Semester 1'!D42:I42,{4,3,3,3,3,0})+SUMPRODUCT('Semester 2'!D42:I42,{4,3,3,3,4,0})+SUMPRODUCT(D42:N42,{3,1,2,1,2,2,1,2,1,2,2}))/52,2))</f>
        <v>3.38</v>
      </c>
      <c r="Q42" s="4" t="s">
        <v>17</v>
      </c>
    </row>
    <row r="43" spans="1:17" ht="14.25" customHeight="1">
      <c r="A43" s="4">
        <v>37</v>
      </c>
      <c r="B43" s="4" t="s">
        <v>90</v>
      </c>
      <c r="C43" s="5" t="s">
        <v>91</v>
      </c>
      <c r="D43" s="6">
        <v>3.7</v>
      </c>
      <c r="E43" s="6">
        <v>4</v>
      </c>
      <c r="F43" s="6">
        <v>3.8</v>
      </c>
      <c r="G43" s="6">
        <v>3.3</v>
      </c>
      <c r="H43" s="6">
        <v>3.5</v>
      </c>
      <c r="I43" s="6">
        <v>3.3</v>
      </c>
      <c r="J43" s="6">
        <v>3.3</v>
      </c>
      <c r="K43" s="6">
        <v>3.5</v>
      </c>
      <c r="L43" s="6">
        <v>4</v>
      </c>
      <c r="M43" s="6">
        <v>3.3</v>
      </c>
      <c r="N43" s="6">
        <v>3.5</v>
      </c>
      <c r="O43" s="6">
        <f t="shared" si="0"/>
        <v>3.55</v>
      </c>
      <c r="P43" s="6">
        <f t="array" ref="P43">IF(B43="","",ROUND((SUMPRODUCT('Semester 1'!D43:I43,{4,3,3,3,3,0})+SUMPRODUCT('Semester 2'!D43:I43,{4,3,3,3,4,0})+SUMPRODUCT(D43:N43,{3,1,2,1,2,2,1,2,1,2,2}))/52,2))</f>
        <v>3.52</v>
      </c>
      <c r="Q43" s="4" t="s">
        <v>17</v>
      </c>
    </row>
    <row r="44" spans="1:17" ht="14.25" customHeight="1">
      <c r="A44" s="4">
        <v>38</v>
      </c>
      <c r="B44" s="4" t="s">
        <v>92</v>
      </c>
      <c r="C44" s="5" t="s">
        <v>93</v>
      </c>
      <c r="D44" s="6">
        <v>3</v>
      </c>
      <c r="E44" s="6">
        <v>4</v>
      </c>
      <c r="F44" s="6">
        <v>0</v>
      </c>
      <c r="G44" s="6">
        <v>3</v>
      </c>
      <c r="H44" s="6">
        <v>4</v>
      </c>
      <c r="I44" s="6">
        <v>2.7</v>
      </c>
      <c r="J44" s="6">
        <v>2.9</v>
      </c>
      <c r="K44" s="6">
        <v>2</v>
      </c>
      <c r="L44" s="6">
        <v>2.9</v>
      </c>
      <c r="M44" s="6">
        <v>3.4</v>
      </c>
      <c r="N44" s="6">
        <v>4</v>
      </c>
      <c r="O44" s="6">
        <f t="shared" si="0"/>
        <v>2.84</v>
      </c>
      <c r="P44" s="6">
        <f t="array" ref="P44">IF(B44="","",ROUND((SUMPRODUCT('Semester 1'!D44:I44,{4,3,3,3,3,0})+SUMPRODUCT('Semester 2'!D44:I44,{4,3,3,3,4,0})+SUMPRODUCT(D44:N44,{3,1,2,1,2,2,1,2,1,2,2}))/52,2))</f>
        <v>2.7</v>
      </c>
      <c r="Q44" s="4" t="s">
        <v>17</v>
      </c>
    </row>
    <row r="45" spans="1:17" ht="14.25" customHeight="1">
      <c r="A45" s="4">
        <v>39</v>
      </c>
      <c r="B45" s="4" t="s">
        <v>94</v>
      </c>
      <c r="C45" s="5" t="s">
        <v>95</v>
      </c>
      <c r="D45" s="6">
        <v>3.9</v>
      </c>
      <c r="E45" s="6">
        <v>4</v>
      </c>
      <c r="F45" s="6">
        <v>3.7</v>
      </c>
      <c r="G45" s="6">
        <v>3.7</v>
      </c>
      <c r="H45" s="6">
        <v>4</v>
      </c>
      <c r="I45" s="6">
        <v>4</v>
      </c>
      <c r="J45" s="6">
        <v>4</v>
      </c>
      <c r="K45" s="6">
        <v>3.1</v>
      </c>
      <c r="L45" s="6">
        <v>2.2999999999999998</v>
      </c>
      <c r="M45" s="6">
        <v>3.5</v>
      </c>
      <c r="N45" s="6">
        <v>3.3</v>
      </c>
      <c r="O45" s="6">
        <f t="shared" si="0"/>
        <v>3.63</v>
      </c>
      <c r="P45" s="6">
        <f t="array" ref="P45">IF(B45="","",ROUND((SUMPRODUCT('Semester 1'!D45:I45,{4,3,3,3,3,0})+SUMPRODUCT('Semester 2'!D45:I45,{4,3,3,3,4,0})+SUMPRODUCT(D45:N45,{3,1,2,1,2,2,1,2,1,2,2}))/52,2))</f>
        <v>3.44</v>
      </c>
      <c r="Q45" s="4" t="s">
        <v>17</v>
      </c>
    </row>
    <row r="46" spans="1:17" ht="14.25" customHeight="1">
      <c r="A46" s="4">
        <v>40</v>
      </c>
      <c r="B46" s="4" t="s">
        <v>96</v>
      </c>
      <c r="C46" s="5" t="s">
        <v>97</v>
      </c>
      <c r="D46" s="6">
        <v>4</v>
      </c>
      <c r="E46" s="6">
        <v>3.7</v>
      </c>
      <c r="F46" s="6">
        <v>3.3</v>
      </c>
      <c r="G46" s="6">
        <v>4</v>
      </c>
      <c r="H46" s="6">
        <v>4</v>
      </c>
      <c r="I46" s="6">
        <v>3.9</v>
      </c>
      <c r="J46" s="6">
        <v>4</v>
      </c>
      <c r="K46" s="6">
        <v>2.2999999999999998</v>
      </c>
      <c r="L46" s="6">
        <v>2</v>
      </c>
      <c r="M46" s="6">
        <v>3.4</v>
      </c>
      <c r="N46" s="6">
        <v>3.5</v>
      </c>
      <c r="O46" s="6">
        <f t="shared" si="0"/>
        <v>3.5</v>
      </c>
      <c r="P46" s="6">
        <f t="array" ref="P46">IF(B46="","",ROUND((SUMPRODUCT('Semester 1'!D46:I46,{4,3,3,3,3,0})+SUMPRODUCT('Semester 2'!D46:I46,{4,3,3,3,4,0})+SUMPRODUCT(D46:N46,{3,1,2,1,2,2,1,2,1,2,2}))/52,2))</f>
        <v>3.27</v>
      </c>
      <c r="Q46" s="4" t="s">
        <v>17</v>
      </c>
    </row>
    <row r="47" spans="1:17" ht="14.25" customHeight="1">
      <c r="A47" s="4">
        <v>41</v>
      </c>
      <c r="B47" s="4" t="s">
        <v>98</v>
      </c>
      <c r="C47" s="5" t="s">
        <v>99</v>
      </c>
      <c r="D47" s="6">
        <v>4</v>
      </c>
      <c r="E47" s="6">
        <v>3.9</v>
      </c>
      <c r="F47" s="6">
        <v>3.8</v>
      </c>
      <c r="G47" s="6">
        <v>4</v>
      </c>
      <c r="H47" s="6">
        <v>4</v>
      </c>
      <c r="I47" s="6">
        <v>3.5</v>
      </c>
      <c r="J47" s="6">
        <v>3.6</v>
      </c>
      <c r="K47" s="6">
        <v>2.2999999999999998</v>
      </c>
      <c r="L47" s="6">
        <v>4</v>
      </c>
      <c r="M47" s="6">
        <v>4</v>
      </c>
      <c r="N47" s="6">
        <v>2.9</v>
      </c>
      <c r="O47" s="6">
        <f t="shared" si="0"/>
        <v>3.61</v>
      </c>
      <c r="P47" s="6">
        <f t="array" ref="P47">IF(B47="","",ROUND((SUMPRODUCT('Semester 1'!D47:I47,{4,3,3,3,3,0})+SUMPRODUCT('Semester 2'!D47:I47,{4,3,3,3,4,0})+SUMPRODUCT(D47:N47,{3,1,2,1,2,2,1,2,1,2,2}))/52,2))</f>
        <v>3.47</v>
      </c>
      <c r="Q47" s="4" t="s">
        <v>17</v>
      </c>
    </row>
    <row r="48" spans="1:17" ht="14.25" customHeight="1">
      <c r="A48" s="4">
        <v>42</v>
      </c>
      <c r="B48" s="4" t="s">
        <v>100</v>
      </c>
      <c r="C48" s="5" t="s">
        <v>101</v>
      </c>
      <c r="D48" s="6">
        <v>3.5</v>
      </c>
      <c r="E48" s="6">
        <v>3.9</v>
      </c>
      <c r="F48" s="6">
        <v>2.7</v>
      </c>
      <c r="G48" s="6">
        <v>3.7</v>
      </c>
      <c r="H48" s="6">
        <v>3.3</v>
      </c>
      <c r="I48" s="6">
        <v>3.6</v>
      </c>
      <c r="J48" s="6">
        <v>4</v>
      </c>
      <c r="K48" s="6">
        <v>3</v>
      </c>
      <c r="L48" s="6">
        <v>4</v>
      </c>
      <c r="M48" s="6">
        <v>3.3</v>
      </c>
      <c r="N48" s="6">
        <v>2.9</v>
      </c>
      <c r="O48" s="6">
        <f t="shared" si="0"/>
        <v>3.35</v>
      </c>
      <c r="P48" s="6">
        <f t="array" ref="P48">IF(B48="","",ROUND((SUMPRODUCT('Semester 1'!D48:I48,{4,3,3,3,3,0})+SUMPRODUCT('Semester 2'!D48:I48,{4,3,3,3,4,0})+SUMPRODUCT(D48:N48,{3,1,2,1,2,2,1,2,1,2,2}))/52,2))</f>
        <v>3.32</v>
      </c>
      <c r="Q48" s="4" t="s">
        <v>17</v>
      </c>
    </row>
    <row r="49" spans="1:17" ht="14.25" customHeight="1">
      <c r="A49" s="4">
        <v>43</v>
      </c>
      <c r="B49" s="4" t="s">
        <v>102</v>
      </c>
      <c r="C49" s="5" t="s">
        <v>103</v>
      </c>
      <c r="D49" s="6">
        <v>0</v>
      </c>
      <c r="E49" s="6">
        <v>3.7</v>
      </c>
      <c r="F49" s="6">
        <v>2.8</v>
      </c>
      <c r="G49" s="6">
        <v>4</v>
      </c>
      <c r="H49" s="6">
        <v>3.1</v>
      </c>
      <c r="I49" s="6">
        <v>3.9</v>
      </c>
      <c r="J49" s="6">
        <v>4</v>
      </c>
      <c r="K49" s="6">
        <v>2.1</v>
      </c>
      <c r="L49" s="6">
        <v>4</v>
      </c>
      <c r="M49" s="6">
        <v>3.3</v>
      </c>
      <c r="N49" s="6">
        <v>3.7</v>
      </c>
      <c r="O49" s="6">
        <f t="shared" si="0"/>
        <v>2.82</v>
      </c>
      <c r="P49" s="6">
        <f t="array" ref="P49">IF(B49="","",ROUND((SUMPRODUCT('Semester 1'!D49:I49,{4,3,3,3,3,0})+SUMPRODUCT('Semester 2'!D49:I49,{4,3,3,3,4,0})+SUMPRODUCT(D49:N49,{3,1,2,1,2,2,1,2,1,2,2}))/52,2))</f>
        <v>3.05</v>
      </c>
      <c r="Q49" s="4" t="s">
        <v>17</v>
      </c>
    </row>
    <row r="50" spans="1:17" ht="14.25" customHeight="1">
      <c r="A50" s="4">
        <v>44</v>
      </c>
      <c r="B50" s="4" t="s">
        <v>104</v>
      </c>
      <c r="C50" s="5" t="s">
        <v>105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f t="shared" si="0"/>
        <v>0</v>
      </c>
      <c r="P50" s="6">
        <f t="array" ref="P50">IF(B50="","",ROUND((SUMPRODUCT('Semester 1'!D50:I50,{4,3,3,3,3,0})+SUMPRODUCT('Semester 2'!D50:I50,{4,3,3,3,4,0})+SUMPRODUCT(D50:N50,{3,1,2,1,2,2,1,2,1,2,2}))/52,2))</f>
        <v>0.97</v>
      </c>
      <c r="Q50" s="4" t="s">
        <v>43</v>
      </c>
    </row>
    <row r="51" spans="1:17" ht="14.25" customHeight="1">
      <c r="A51" s="4">
        <v>45</v>
      </c>
      <c r="B51" s="4" t="s">
        <v>106</v>
      </c>
      <c r="C51" s="5" t="s">
        <v>107</v>
      </c>
      <c r="D51" s="6">
        <v>4</v>
      </c>
      <c r="E51" s="6">
        <v>4</v>
      </c>
      <c r="F51" s="6">
        <v>3.9</v>
      </c>
      <c r="G51" s="6">
        <v>4</v>
      </c>
      <c r="H51" s="6">
        <v>4</v>
      </c>
      <c r="I51" s="6">
        <v>3.7</v>
      </c>
      <c r="J51" s="6">
        <v>4</v>
      </c>
      <c r="K51" s="6">
        <v>4</v>
      </c>
      <c r="L51" s="6">
        <v>4</v>
      </c>
      <c r="M51" s="6">
        <v>4</v>
      </c>
      <c r="N51" s="6">
        <v>2.8</v>
      </c>
      <c r="O51" s="6">
        <f t="shared" si="0"/>
        <v>3.83</v>
      </c>
      <c r="P51" s="6">
        <f t="array" ref="P51">IF(B51="","",ROUND((SUMPRODUCT('Semester 1'!D51:I51,{4,3,3,3,3,0})+SUMPRODUCT('Semester 2'!D51:I51,{4,3,3,3,4,0})+SUMPRODUCT(D51:N51,{3,1,2,1,2,2,1,2,1,2,2}))/52,2))</f>
        <v>3.5</v>
      </c>
      <c r="Q51" s="4" t="s">
        <v>17</v>
      </c>
    </row>
    <row r="52" spans="1:17" ht="14.25" customHeight="1">
      <c r="A52" s="4">
        <v>46</v>
      </c>
      <c r="B52" s="4" t="s">
        <v>108</v>
      </c>
      <c r="C52" s="5" t="s">
        <v>109</v>
      </c>
      <c r="D52" s="6">
        <v>3.7</v>
      </c>
      <c r="E52" s="6">
        <v>3.9</v>
      </c>
      <c r="F52" s="6">
        <v>3.3</v>
      </c>
      <c r="G52" s="6">
        <v>4</v>
      </c>
      <c r="H52" s="6">
        <v>4</v>
      </c>
      <c r="I52" s="6">
        <v>3.8</v>
      </c>
      <c r="J52" s="6">
        <v>4</v>
      </c>
      <c r="K52" s="6">
        <v>2.1</v>
      </c>
      <c r="L52" s="6">
        <v>3</v>
      </c>
      <c r="M52" s="6">
        <v>3.5</v>
      </c>
      <c r="N52" s="6">
        <v>2.7</v>
      </c>
      <c r="O52" s="6">
        <f t="shared" si="0"/>
        <v>3.41</v>
      </c>
      <c r="P52" s="6">
        <f t="array" ref="P52">IF(B52="","",ROUND((SUMPRODUCT('Semester 1'!D52:I52,{4,3,3,3,3,0})+SUMPRODUCT('Semester 2'!D52:I52,{4,3,3,3,4,0})+SUMPRODUCT(D52:N52,{3,1,2,1,2,2,1,2,1,2,2}))/52,2))</f>
        <v>3.09</v>
      </c>
      <c r="Q52" s="4" t="s">
        <v>17</v>
      </c>
    </row>
    <row r="53" spans="1:17" ht="14.25" customHeight="1">
      <c r="A53" s="4">
        <v>47</v>
      </c>
      <c r="B53" s="4" t="s">
        <v>110</v>
      </c>
      <c r="C53" s="5" t="s">
        <v>111</v>
      </c>
      <c r="D53" s="6">
        <v>4</v>
      </c>
      <c r="E53" s="6">
        <v>3.8</v>
      </c>
      <c r="F53" s="6">
        <v>3.4</v>
      </c>
      <c r="G53" s="6">
        <v>4</v>
      </c>
      <c r="H53" s="6">
        <v>4</v>
      </c>
      <c r="I53" s="6">
        <v>3</v>
      </c>
      <c r="J53" s="6">
        <v>3.1</v>
      </c>
      <c r="K53" s="6">
        <v>3.1</v>
      </c>
      <c r="L53" s="6">
        <v>4</v>
      </c>
      <c r="M53" s="6">
        <v>3.7</v>
      </c>
      <c r="N53" s="6">
        <v>4</v>
      </c>
      <c r="O53" s="6">
        <f t="shared" si="0"/>
        <v>3.65</v>
      </c>
      <c r="P53" s="6">
        <f t="array" ref="P53">IF(B53="","",ROUND((SUMPRODUCT('Semester 1'!D53:I53,{4,3,3,3,3,0})+SUMPRODUCT('Semester 2'!D53:I53,{4,3,3,3,4,0})+SUMPRODUCT(D53:N53,{3,1,2,1,2,2,1,2,1,2,2}))/52,2))</f>
        <v>3.43</v>
      </c>
      <c r="Q53" s="4" t="s">
        <v>17</v>
      </c>
    </row>
    <row r="54" spans="1:17" ht="14.25" customHeight="1">
      <c r="A54" s="4">
        <v>48</v>
      </c>
      <c r="B54" s="4" t="s">
        <v>112</v>
      </c>
      <c r="C54" s="5" t="s">
        <v>113</v>
      </c>
      <c r="D54" s="6">
        <v>3.6</v>
      </c>
      <c r="E54" s="6">
        <v>4</v>
      </c>
      <c r="F54" s="6">
        <v>3.3</v>
      </c>
      <c r="G54" s="6">
        <v>3.7</v>
      </c>
      <c r="H54" s="6">
        <v>3.9</v>
      </c>
      <c r="I54" s="6">
        <v>4</v>
      </c>
      <c r="J54" s="6">
        <v>4</v>
      </c>
      <c r="K54" s="6">
        <v>2</v>
      </c>
      <c r="L54" s="6">
        <v>3.7</v>
      </c>
      <c r="M54" s="6">
        <v>3.2</v>
      </c>
      <c r="N54" s="6">
        <v>2.1</v>
      </c>
      <c r="O54" s="6">
        <f t="shared" si="0"/>
        <v>3.33</v>
      </c>
      <c r="P54" s="6">
        <f t="array" ref="P54">IF(B54="","",ROUND((SUMPRODUCT('Semester 1'!D54:I54,{4,3,3,3,3,0})+SUMPRODUCT('Semester 2'!D54:I54,{4,3,3,3,4,0})+SUMPRODUCT(D54:N54,{3,1,2,1,2,2,1,2,1,2,2}))/52,2))</f>
        <v>3.08</v>
      </c>
      <c r="Q54" s="4" t="s">
        <v>17</v>
      </c>
    </row>
    <row r="55" spans="1:17" ht="14.25" customHeight="1">
      <c r="A55" s="4">
        <v>49</v>
      </c>
      <c r="B55" s="4" t="s">
        <v>114</v>
      </c>
      <c r="C55" s="5" t="s">
        <v>115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f t="shared" si="0"/>
        <v>0</v>
      </c>
      <c r="P55" s="6">
        <f t="array" ref="P55">IF(B55="","",ROUND((SUMPRODUCT('Semester 1'!D55:I55,{4,3,3,3,3,0})+SUMPRODUCT('Semester 2'!D55:I55,{4,3,3,3,4,0})+SUMPRODUCT(D55:N55,{3,1,2,1,2,2,1,2,1,2,2}))/52,2))</f>
        <v>0</v>
      </c>
      <c r="Q55" s="4" t="s">
        <v>43</v>
      </c>
    </row>
    <row r="56" spans="1:17" ht="14.25" customHeight="1">
      <c r="A56" s="4">
        <v>50</v>
      </c>
      <c r="B56" s="4" t="s">
        <v>116</v>
      </c>
      <c r="C56" s="5" t="s">
        <v>117</v>
      </c>
      <c r="D56" s="6">
        <v>3.7</v>
      </c>
      <c r="E56" s="6">
        <v>3.9</v>
      </c>
      <c r="F56" s="6">
        <v>2.8</v>
      </c>
      <c r="G56" s="6">
        <v>3.3</v>
      </c>
      <c r="H56" s="6">
        <v>4</v>
      </c>
      <c r="I56" s="6">
        <v>4</v>
      </c>
      <c r="J56" s="6">
        <v>4</v>
      </c>
      <c r="K56" s="6">
        <v>2.9</v>
      </c>
      <c r="L56" s="6">
        <v>3.5</v>
      </c>
      <c r="M56" s="6">
        <v>3.7</v>
      </c>
      <c r="N56" s="6">
        <v>4</v>
      </c>
      <c r="O56" s="6">
        <f t="shared" si="0"/>
        <v>3.61</v>
      </c>
      <c r="P56" s="6">
        <f t="array" ref="P56">IF(B56="","",ROUND((SUMPRODUCT('Semester 1'!D56:I56,{4,3,3,3,3,0})+SUMPRODUCT('Semester 2'!D56:I56,{4,3,3,3,4,0})+SUMPRODUCT(D56:N56,{3,1,2,1,2,2,1,2,1,2,2}))/52,2))</f>
        <v>3.47</v>
      </c>
      <c r="Q56" s="4" t="s">
        <v>17</v>
      </c>
    </row>
    <row r="57" spans="1:17" ht="14.25" customHeight="1">
      <c r="A57" s="4">
        <v>51</v>
      </c>
      <c r="B57" s="4" t="s">
        <v>118</v>
      </c>
      <c r="C57" s="5" t="s">
        <v>119</v>
      </c>
      <c r="D57" s="6">
        <v>3.8</v>
      </c>
      <c r="E57" s="6">
        <v>3.9</v>
      </c>
      <c r="F57" s="6">
        <v>2.7</v>
      </c>
      <c r="G57" s="6">
        <v>4</v>
      </c>
      <c r="H57" s="6">
        <v>2.7</v>
      </c>
      <c r="I57" s="6">
        <v>2.9</v>
      </c>
      <c r="J57" s="6">
        <v>2.9</v>
      </c>
      <c r="K57" s="6">
        <v>2</v>
      </c>
      <c r="L57" s="6">
        <v>2.7</v>
      </c>
      <c r="M57" s="6">
        <v>2.6</v>
      </c>
      <c r="N57" s="6">
        <v>2.8</v>
      </c>
      <c r="O57" s="6">
        <f t="shared" si="0"/>
        <v>2.96</v>
      </c>
      <c r="P57" s="6">
        <f t="array" ref="P57">IF(B57="","",ROUND((SUMPRODUCT('Semester 1'!D57:I57,{4,3,3,3,3,0})+SUMPRODUCT('Semester 2'!D57:I57,{4,3,3,3,4,0})+SUMPRODUCT(D57:N57,{3,1,2,1,2,2,1,2,1,2,2}))/52,2))</f>
        <v>3.05</v>
      </c>
      <c r="Q57" s="4" t="s">
        <v>17</v>
      </c>
    </row>
    <row r="58" spans="1:17" ht="14.25" customHeight="1">
      <c r="A58" s="4">
        <v>52</v>
      </c>
      <c r="B58" s="4" t="s">
        <v>120</v>
      </c>
      <c r="C58" s="5" t="s">
        <v>121</v>
      </c>
      <c r="D58" s="6">
        <v>3.9</v>
      </c>
      <c r="E58" s="6">
        <v>3.4</v>
      </c>
      <c r="F58" s="6">
        <v>3.3</v>
      </c>
      <c r="G58" s="6">
        <v>4</v>
      </c>
      <c r="H58" s="6">
        <v>3.9</v>
      </c>
      <c r="I58" s="6">
        <v>4</v>
      </c>
      <c r="J58" s="6">
        <v>4</v>
      </c>
      <c r="K58" s="6">
        <v>2.5</v>
      </c>
      <c r="L58" s="6">
        <v>3.3</v>
      </c>
      <c r="M58" s="6">
        <v>3.9</v>
      </c>
      <c r="N58" s="6">
        <v>3.2</v>
      </c>
      <c r="O58" s="6">
        <f t="shared" si="0"/>
        <v>3.58</v>
      </c>
      <c r="P58" s="6">
        <f t="array" ref="P58">IF(B58="","",ROUND((SUMPRODUCT('Semester 1'!D58:I58,{4,3,3,3,3,0})+SUMPRODUCT('Semester 2'!D58:I58,{4,3,3,3,4,0})+SUMPRODUCT(D58:N58,{3,1,2,1,2,2,1,2,1,2,2}))/52,2))</f>
        <v>3.66</v>
      </c>
      <c r="Q58" s="4" t="s">
        <v>17</v>
      </c>
    </row>
    <row r="59" spans="1:17" ht="14.25" customHeight="1">
      <c r="A59" s="4">
        <v>53</v>
      </c>
      <c r="B59" s="4" t="s">
        <v>122</v>
      </c>
      <c r="C59" s="5" t="s">
        <v>123</v>
      </c>
      <c r="D59" s="6">
        <v>3.5</v>
      </c>
      <c r="E59" s="6">
        <v>4</v>
      </c>
      <c r="F59" s="6">
        <v>4</v>
      </c>
      <c r="G59" s="6">
        <v>3</v>
      </c>
      <c r="H59" s="6">
        <v>3</v>
      </c>
      <c r="I59" s="6">
        <v>4</v>
      </c>
      <c r="J59" s="6">
        <v>4</v>
      </c>
      <c r="K59" s="6">
        <v>2.2000000000000002</v>
      </c>
      <c r="L59" s="6">
        <v>3</v>
      </c>
      <c r="M59" s="6">
        <v>4</v>
      </c>
      <c r="N59" s="6">
        <v>3.3</v>
      </c>
      <c r="O59" s="6">
        <f t="shared" si="0"/>
        <v>3.45</v>
      </c>
      <c r="P59" s="6">
        <f t="array" ref="P59">IF(B59="","",ROUND((SUMPRODUCT('Semester 1'!D59:I59,{4,3,3,3,3,0})+SUMPRODUCT('Semester 2'!D59:I59,{4,3,3,3,4,0})+SUMPRODUCT(D59:N59,{3,1,2,1,2,2,1,2,1,2,2}))/52,2))</f>
        <v>3.28</v>
      </c>
      <c r="Q59" s="4" t="s">
        <v>17</v>
      </c>
    </row>
    <row r="60" spans="1:17" ht="14.25" customHeight="1">
      <c r="A60" s="4">
        <v>54</v>
      </c>
      <c r="B60" s="4" t="s">
        <v>124</v>
      </c>
      <c r="C60" s="5" t="s">
        <v>125</v>
      </c>
      <c r="D60" s="6">
        <v>3.7</v>
      </c>
      <c r="E60" s="6">
        <v>4</v>
      </c>
      <c r="F60" s="6">
        <v>4</v>
      </c>
      <c r="G60" s="6">
        <v>4</v>
      </c>
      <c r="H60" s="6">
        <v>3.3</v>
      </c>
      <c r="I60" s="6">
        <v>4</v>
      </c>
      <c r="J60" s="6">
        <v>4</v>
      </c>
      <c r="K60" s="6">
        <v>3.5</v>
      </c>
      <c r="L60" s="6">
        <v>4</v>
      </c>
      <c r="M60" s="6">
        <v>3.7</v>
      </c>
      <c r="N60" s="6">
        <v>3.9</v>
      </c>
      <c r="O60" s="6">
        <f t="shared" si="0"/>
        <v>3.78</v>
      </c>
      <c r="P60" s="6">
        <f t="array" ref="P60">IF(B60="","",ROUND((SUMPRODUCT('Semester 1'!D60:I60,{4,3,3,3,3,0})+SUMPRODUCT('Semester 2'!D60:I60,{4,3,3,3,4,0})+SUMPRODUCT(D60:N60,{3,1,2,1,2,2,1,2,1,2,2}))/52,2))</f>
        <v>3.67</v>
      </c>
      <c r="Q60" s="4" t="s">
        <v>17</v>
      </c>
    </row>
    <row r="61" spans="1:17" ht="14.25" customHeight="1">
      <c r="A61" s="4">
        <v>55</v>
      </c>
      <c r="B61" s="4" t="s">
        <v>126</v>
      </c>
      <c r="C61" s="5" t="s">
        <v>127</v>
      </c>
      <c r="D61" s="6">
        <v>3.5</v>
      </c>
      <c r="E61" s="6">
        <v>3.9</v>
      </c>
      <c r="F61" s="6">
        <v>2.5</v>
      </c>
      <c r="G61" s="6">
        <v>3.7</v>
      </c>
      <c r="H61" s="6">
        <v>3.7</v>
      </c>
      <c r="I61" s="6">
        <v>3.5</v>
      </c>
      <c r="J61" s="6">
        <v>3.4</v>
      </c>
      <c r="K61" s="6">
        <v>2</v>
      </c>
      <c r="L61" s="6">
        <v>4</v>
      </c>
      <c r="M61" s="6">
        <v>3.5</v>
      </c>
      <c r="N61" s="6">
        <v>3.7</v>
      </c>
      <c r="O61" s="6">
        <f t="shared" si="0"/>
        <v>3.33</v>
      </c>
      <c r="P61" s="6">
        <f t="array" ref="P61">IF(B61="","",ROUND((SUMPRODUCT('Semester 1'!D61:I61,{4,3,3,3,3,0})+SUMPRODUCT('Semester 2'!D61:I61,{4,3,3,3,4,0})+SUMPRODUCT(D61:N61,{3,1,2,1,2,2,1,2,1,2,2}))/52,2))</f>
        <v>3.16</v>
      </c>
      <c r="Q61" s="4" t="s">
        <v>17</v>
      </c>
    </row>
    <row r="62" spans="1:17" ht="14.25" customHeight="1">
      <c r="A62" s="4">
        <v>56</v>
      </c>
      <c r="B62" s="4" t="s">
        <v>128</v>
      </c>
      <c r="C62" s="5" t="s">
        <v>129</v>
      </c>
      <c r="D62" s="6">
        <v>3.7</v>
      </c>
      <c r="E62" s="6">
        <v>4</v>
      </c>
      <c r="F62" s="6">
        <v>3</v>
      </c>
      <c r="G62" s="6">
        <v>3.7</v>
      </c>
      <c r="H62" s="6">
        <v>4</v>
      </c>
      <c r="I62" s="6">
        <v>4</v>
      </c>
      <c r="J62" s="6">
        <v>4</v>
      </c>
      <c r="K62" s="6">
        <v>0</v>
      </c>
      <c r="L62" s="6">
        <v>4</v>
      </c>
      <c r="M62" s="6">
        <v>3.5</v>
      </c>
      <c r="N62" s="6">
        <v>4</v>
      </c>
      <c r="O62" s="6">
        <f t="shared" si="0"/>
        <v>3.36</v>
      </c>
      <c r="P62" s="6">
        <f t="array" ref="P62">IF(B62="","",ROUND((SUMPRODUCT('Semester 1'!D62:I62,{4,3,3,3,3,0})+SUMPRODUCT('Semester 2'!D62:I62,{4,3,3,3,4,0})+SUMPRODUCT(D62:N62,{3,1,2,1,2,2,1,2,1,2,2}))/52,2))</f>
        <v>3.12</v>
      </c>
      <c r="Q62" s="4" t="s">
        <v>17</v>
      </c>
    </row>
    <row r="63" spans="1:17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24" customHeight="1">
      <c r="A64" s="13" t="s">
        <v>150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5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Q1"/>
    <mergeCell ref="A2:Q2"/>
    <mergeCell ref="A3:Q3"/>
    <mergeCell ref="A4:Q4"/>
    <mergeCell ref="A64:Q64"/>
  </mergeCells>
  <conditionalFormatting sqref="Q7:Q62">
    <cfRule type="expression" dxfId="11" priority="1">
      <formula>Q7="Dropped"</formula>
    </cfRule>
    <cfRule type="expression" dxfId="10" priority="2">
      <formula>Q7="Probation"</formula>
    </cfRule>
    <cfRule type="expression" dxfId="9" priority="3">
      <formula>Q7="Promoted"</formula>
    </cfRule>
  </conditionalFormatting>
  <pageMargins left="0.7" right="0.7" top="0.75" bottom="0.75" header="0" footer="0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000"/>
  <sheetViews>
    <sheetView topLeftCell="A25" workbookViewId="0">
      <selection activeCell="H51" sqref="H51"/>
    </sheetView>
  </sheetViews>
  <sheetFormatPr defaultColWidth="14.44140625" defaultRowHeight="15" customHeight="1"/>
  <cols>
    <col min="1" max="1" width="7.6640625" customWidth="1"/>
    <col min="2" max="2" width="21.109375" customWidth="1"/>
    <col min="3" max="3" width="28.88671875" customWidth="1"/>
    <col min="4" max="10" width="11.88671875" customWidth="1"/>
    <col min="11" max="11" width="11.33203125" customWidth="1"/>
    <col min="12" max="12" width="11.88671875" customWidth="1"/>
    <col min="13" max="13" width="10.5546875" customWidth="1"/>
    <col min="14" max="15" width="6.6640625" customWidth="1"/>
    <col min="16" max="16" width="9.6640625" customWidth="1"/>
    <col min="17" max="26" width="8.6640625" customWidth="1"/>
  </cols>
  <sheetData>
    <row r="1" spans="1:18" ht="20.2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</row>
    <row r="2" spans="1:18" ht="14.25" customHeight="1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</row>
    <row r="3" spans="1:18" ht="14.25" customHeight="1">
      <c r="A3" s="1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spans="1:18" ht="14.25" customHeight="1">
      <c r="A4" s="12" t="s">
        <v>151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spans="1:18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8" ht="25.5" customHeight="1">
      <c r="A6" s="2" t="s">
        <v>4</v>
      </c>
      <c r="B6" s="2" t="s">
        <v>5</v>
      </c>
      <c r="C6" s="2" t="s">
        <v>6</v>
      </c>
      <c r="D6" s="2" t="s">
        <v>152</v>
      </c>
      <c r="E6" s="2" t="s">
        <v>153</v>
      </c>
      <c r="F6" s="2" t="s">
        <v>154</v>
      </c>
      <c r="G6" s="2" t="s">
        <v>155</v>
      </c>
      <c r="H6" s="2" t="s">
        <v>156</v>
      </c>
      <c r="I6" s="2" t="s">
        <v>157</v>
      </c>
      <c r="J6" s="2" t="s">
        <v>158</v>
      </c>
      <c r="K6" s="2" t="s">
        <v>159</v>
      </c>
      <c r="L6" s="2" t="s">
        <v>160</v>
      </c>
      <c r="M6" s="2" t="s">
        <v>161</v>
      </c>
      <c r="N6" s="2" t="s">
        <v>13</v>
      </c>
      <c r="O6" s="2" t="s">
        <v>137</v>
      </c>
      <c r="P6" s="2" t="s">
        <v>14</v>
      </c>
      <c r="Q6" s="3"/>
      <c r="R6" s="3"/>
    </row>
    <row r="7" spans="1:18" ht="14.25" customHeight="1">
      <c r="A7" s="4">
        <v>1</v>
      </c>
      <c r="B7" s="4" t="s">
        <v>15</v>
      </c>
      <c r="C7" s="5" t="s">
        <v>16</v>
      </c>
      <c r="D7" s="6">
        <v>2.8</v>
      </c>
      <c r="E7" s="6">
        <v>3.3</v>
      </c>
      <c r="F7" s="6">
        <v>2.9</v>
      </c>
      <c r="G7" s="6">
        <v>3.7</v>
      </c>
      <c r="H7" s="6">
        <v>2.2999999999999998</v>
      </c>
      <c r="I7" s="6">
        <v>2.5</v>
      </c>
      <c r="J7" s="6">
        <v>3.7</v>
      </c>
      <c r="K7" s="6">
        <v>4</v>
      </c>
      <c r="L7" s="6">
        <v>2.2999999999999998</v>
      </c>
      <c r="M7" s="6">
        <v>4</v>
      </c>
      <c r="N7" s="6">
        <f t="shared" ref="N7:N62" si="0">IF(B7="","",ROUND(SUMPRODUCT(D7:M7,{2,1,2,1,2,1,2,3,2,2})/18,2))</f>
        <v>3.19</v>
      </c>
      <c r="O7" s="6">
        <f t="array" ref="O7">IF(B7="","",ROUND((SUMPRODUCT('Semester 1'!D7:I7,{4,3,3,3,3,0})+SUMPRODUCT('Semester 2'!D7:I7,{4,3,3,3,4,0})+SUMPRODUCT('Semester 3'!D7:N7,{3,1,2,1,2,2,1,2,1,2,2})+SUMPRODUCT(D7:M7,{2,1,2,1,2,1,2,3,2,2}))/70,2))</f>
        <v>3.61</v>
      </c>
      <c r="P7" s="4" t="s">
        <v>17</v>
      </c>
    </row>
    <row r="8" spans="1:18" ht="14.25" customHeight="1">
      <c r="A8" s="4">
        <v>2</v>
      </c>
      <c r="B8" s="4" t="s">
        <v>18</v>
      </c>
      <c r="C8" s="5" t="s">
        <v>19</v>
      </c>
      <c r="D8" s="6">
        <v>3.3</v>
      </c>
      <c r="E8" s="6">
        <v>3.7</v>
      </c>
      <c r="F8" s="6">
        <v>3.7</v>
      </c>
      <c r="G8" s="6">
        <v>3.3</v>
      </c>
      <c r="H8" s="6">
        <v>3.3</v>
      </c>
      <c r="I8" s="6">
        <v>2.9</v>
      </c>
      <c r="J8" s="6">
        <v>3.9</v>
      </c>
      <c r="K8" s="6">
        <v>3.3</v>
      </c>
      <c r="L8" s="6">
        <v>3.2</v>
      </c>
      <c r="M8" s="6">
        <v>4</v>
      </c>
      <c r="N8" s="6">
        <f t="shared" si="0"/>
        <v>3.48</v>
      </c>
      <c r="O8" s="6">
        <f t="array" ref="O8">IF(B8="","",ROUND((SUMPRODUCT('Semester 1'!D8:I8,{4,3,3,3,3,0})+SUMPRODUCT('Semester 2'!D8:I8,{4,3,3,3,4,0})+SUMPRODUCT('Semester 3'!D8:N8,{3,1,2,1,2,2,1,2,1,2,2})+SUMPRODUCT(D8:M8,{2,1,2,1,2,1,2,3,2,2}))/70,2))</f>
        <v>3.65</v>
      </c>
      <c r="P8" s="4" t="s">
        <v>17</v>
      </c>
    </row>
    <row r="9" spans="1:18" ht="14.25" customHeight="1">
      <c r="A9" s="4">
        <v>3</v>
      </c>
      <c r="B9" s="4" t="s">
        <v>20</v>
      </c>
      <c r="C9" s="5" t="s">
        <v>21</v>
      </c>
      <c r="D9" s="6">
        <v>3</v>
      </c>
      <c r="E9" s="6">
        <v>3.5</v>
      </c>
      <c r="F9" s="6">
        <v>3.4</v>
      </c>
      <c r="G9" s="6">
        <v>4</v>
      </c>
      <c r="H9" s="6">
        <v>4</v>
      </c>
      <c r="I9" s="6">
        <v>4</v>
      </c>
      <c r="J9" s="6">
        <v>3.8</v>
      </c>
      <c r="K9" s="6">
        <v>4</v>
      </c>
      <c r="L9" s="6">
        <v>3.1</v>
      </c>
      <c r="M9" s="6">
        <v>4</v>
      </c>
      <c r="N9" s="6">
        <f t="shared" si="0"/>
        <v>3.67</v>
      </c>
      <c r="O9" s="6">
        <f t="array" ref="O9">IF(B9="","",ROUND((SUMPRODUCT('Semester 1'!D9:I9,{4,3,3,3,3,0})+SUMPRODUCT('Semester 2'!D9:I9,{4,3,3,3,4,0})+SUMPRODUCT('Semester 3'!D9:N9,{3,1,2,1,2,2,1,2,1,2,2})+SUMPRODUCT(D9:M9,{2,1,2,1,2,1,2,3,2,2}))/70,2))</f>
        <v>3.73</v>
      </c>
      <c r="P9" s="4" t="s">
        <v>17</v>
      </c>
    </row>
    <row r="10" spans="1:18" ht="14.25" customHeight="1">
      <c r="A10" s="4">
        <v>4</v>
      </c>
      <c r="B10" s="4" t="s">
        <v>22</v>
      </c>
      <c r="C10" s="5" t="s">
        <v>23</v>
      </c>
      <c r="D10" s="6">
        <v>3.3</v>
      </c>
      <c r="E10" s="6">
        <v>3.5</v>
      </c>
      <c r="F10" s="6">
        <v>2.7</v>
      </c>
      <c r="G10" s="6">
        <v>4</v>
      </c>
      <c r="H10" s="6">
        <v>2.7</v>
      </c>
      <c r="I10" s="6">
        <v>2.2000000000000002</v>
      </c>
      <c r="J10" s="6">
        <v>2.5</v>
      </c>
      <c r="K10" s="6">
        <v>2.8</v>
      </c>
      <c r="L10" s="6">
        <v>2.2000000000000002</v>
      </c>
      <c r="M10" s="6">
        <v>4</v>
      </c>
      <c r="N10" s="6">
        <f t="shared" si="0"/>
        <v>2.94</v>
      </c>
      <c r="O10" s="6">
        <f t="array" ref="O10">IF(B10="","",ROUND((SUMPRODUCT('Semester 1'!D10:I10,{4,3,3,3,3,0})+SUMPRODUCT('Semester 2'!D10:I10,{4,3,3,3,4,0})+SUMPRODUCT('Semester 3'!D10:N10,{3,1,2,1,2,2,1,2,1,2,2})+SUMPRODUCT(D10:M10,{2,1,2,1,2,1,2,3,2,2}))/70,2))</f>
        <v>3.38</v>
      </c>
      <c r="P10" s="4" t="s">
        <v>17</v>
      </c>
    </row>
    <row r="11" spans="1:18" ht="14.25" customHeight="1">
      <c r="A11" s="4">
        <v>5</v>
      </c>
      <c r="B11" s="4" t="s">
        <v>24</v>
      </c>
      <c r="C11" s="5" t="s">
        <v>25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f t="shared" si="0"/>
        <v>0</v>
      </c>
      <c r="O11" s="6">
        <f t="array" ref="O11">IF(B11="","",ROUND((SUMPRODUCT('Semester 1'!D11:I11,{4,3,3,3,3,0})+SUMPRODUCT('Semester 2'!D11:I11,{4,3,3,3,4,0})+SUMPRODUCT('Semester 3'!D11:N11,{3,1,2,1,2,2,1,2,1,2,2})+SUMPRODUCT(D11:M11,{2,1,2,1,2,1,2,3,2,2}))/70,2))</f>
        <v>0.77</v>
      </c>
      <c r="P11" s="4" t="s">
        <v>43</v>
      </c>
    </row>
    <row r="12" spans="1:18" ht="14.25" customHeight="1">
      <c r="A12" s="4">
        <v>6</v>
      </c>
      <c r="B12" s="4" t="s">
        <v>26</v>
      </c>
      <c r="C12" s="5" t="s">
        <v>27</v>
      </c>
      <c r="D12" s="6">
        <v>2.2999999999999998</v>
      </c>
      <c r="E12" s="6">
        <v>2.7</v>
      </c>
      <c r="F12" s="6">
        <v>2.7</v>
      </c>
      <c r="G12" s="6">
        <v>3.3</v>
      </c>
      <c r="H12" s="6">
        <v>2</v>
      </c>
      <c r="I12" s="6">
        <v>2</v>
      </c>
      <c r="J12" s="6">
        <v>3.9</v>
      </c>
      <c r="K12" s="6">
        <v>2.9</v>
      </c>
      <c r="L12" s="6">
        <v>2.9</v>
      </c>
      <c r="M12" s="6">
        <v>4</v>
      </c>
      <c r="N12" s="6">
        <f t="shared" si="0"/>
        <v>2.91</v>
      </c>
      <c r="O12" s="6">
        <f t="array" ref="O12">IF(B12="","",ROUND((SUMPRODUCT('Semester 1'!D12:I12,{4,3,3,3,3,0})+SUMPRODUCT('Semester 2'!D12:I12,{4,3,3,3,4,0})+SUMPRODUCT('Semester 3'!D12:N12,{3,1,2,1,2,2,1,2,1,2,2})+SUMPRODUCT(D12:M12,{2,1,2,1,2,1,2,3,2,2}))/70,2))</f>
        <v>3.09</v>
      </c>
      <c r="P12" s="4" t="s">
        <v>17</v>
      </c>
    </row>
    <row r="13" spans="1:18" ht="14.25" customHeight="1">
      <c r="A13" s="4">
        <v>7</v>
      </c>
      <c r="B13" s="4" t="s">
        <v>28</v>
      </c>
      <c r="C13" s="5" t="s">
        <v>29</v>
      </c>
      <c r="D13" s="6">
        <v>3.2</v>
      </c>
      <c r="E13" s="6">
        <v>3.5</v>
      </c>
      <c r="F13" s="6">
        <v>3.9</v>
      </c>
      <c r="G13" s="6">
        <v>3.3</v>
      </c>
      <c r="H13" s="6">
        <v>3.7</v>
      </c>
      <c r="I13" s="6">
        <v>3</v>
      </c>
      <c r="J13" s="6">
        <v>3.9</v>
      </c>
      <c r="K13" s="6">
        <v>4</v>
      </c>
      <c r="L13" s="6">
        <v>3.4</v>
      </c>
      <c r="M13" s="6">
        <v>4</v>
      </c>
      <c r="N13" s="6">
        <f t="shared" si="0"/>
        <v>3.67</v>
      </c>
      <c r="O13" s="6">
        <f t="array" ref="O13">IF(B13="","",ROUND((SUMPRODUCT('Semester 1'!D13:I13,{4,3,3,3,3,0})+SUMPRODUCT('Semester 2'!D13:I13,{4,3,3,3,4,0})+SUMPRODUCT('Semester 3'!D13:N13,{3,1,2,1,2,2,1,2,1,2,2})+SUMPRODUCT(D13:M13,{2,1,2,1,2,1,2,3,2,2}))/70,2))</f>
        <v>3.68</v>
      </c>
      <c r="P13" s="4" t="s">
        <v>17</v>
      </c>
    </row>
    <row r="14" spans="1:18" ht="14.25" customHeight="1">
      <c r="A14" s="4">
        <v>8</v>
      </c>
      <c r="B14" s="4" t="s">
        <v>30</v>
      </c>
      <c r="C14" s="5" t="s">
        <v>31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f t="shared" si="0"/>
        <v>0</v>
      </c>
      <c r="O14" s="6">
        <f t="array" ref="O14">IF(B14="","",ROUND((SUMPRODUCT('Semester 1'!D14:I14,{4,3,3,3,3,0})+SUMPRODUCT('Semester 2'!D14:I14,{4,3,3,3,4,0})+SUMPRODUCT('Semester 3'!D14:N14,{3,1,2,1,2,2,1,2,1,2,2})+SUMPRODUCT(D14:M14,{2,1,2,1,2,1,2,3,2,2}))/70,2))</f>
        <v>0.56999999999999995</v>
      </c>
      <c r="P14" s="4" t="s">
        <v>43</v>
      </c>
    </row>
    <row r="15" spans="1:18" ht="14.25" customHeight="1">
      <c r="A15" s="4">
        <v>9</v>
      </c>
      <c r="B15" s="4" t="s">
        <v>33</v>
      </c>
      <c r="C15" s="5" t="s">
        <v>34</v>
      </c>
      <c r="D15" s="6">
        <v>2.5</v>
      </c>
      <c r="E15" s="6">
        <v>3</v>
      </c>
      <c r="F15" s="6">
        <v>2.2999999999999998</v>
      </c>
      <c r="G15" s="6">
        <v>3.7</v>
      </c>
      <c r="H15" s="6">
        <v>2</v>
      </c>
      <c r="I15" s="6">
        <v>2</v>
      </c>
      <c r="J15" s="6">
        <v>3.7</v>
      </c>
      <c r="K15" s="6">
        <v>2.6</v>
      </c>
      <c r="L15" s="6">
        <v>2.4</v>
      </c>
      <c r="M15" s="6">
        <v>4</v>
      </c>
      <c r="N15" s="6">
        <f t="shared" si="0"/>
        <v>2.79</v>
      </c>
      <c r="O15" s="6">
        <f t="array" ref="O15">IF(B15="","",ROUND((SUMPRODUCT('Semester 1'!D15:I15,{4,3,3,3,3,0})+SUMPRODUCT('Semester 2'!D15:I15,{4,3,3,3,4,0})+SUMPRODUCT('Semester 3'!D15:N15,{3,1,2,1,2,2,1,2,1,2,2})+SUMPRODUCT(D15:M15,{2,1,2,1,2,1,2,3,2,2}))/70,2))</f>
        <v>3.24</v>
      </c>
      <c r="P15" s="4" t="s">
        <v>17</v>
      </c>
    </row>
    <row r="16" spans="1:18" ht="14.25" customHeight="1">
      <c r="A16" s="4">
        <v>10</v>
      </c>
      <c r="B16" s="4" t="s">
        <v>35</v>
      </c>
      <c r="C16" s="5" t="s">
        <v>36</v>
      </c>
      <c r="D16" s="6">
        <v>3</v>
      </c>
      <c r="E16" s="6">
        <v>3.3</v>
      </c>
      <c r="F16" s="6">
        <v>4</v>
      </c>
      <c r="G16" s="6">
        <v>4</v>
      </c>
      <c r="H16" s="6">
        <v>2.9</v>
      </c>
      <c r="I16" s="6">
        <v>2.2999999999999998</v>
      </c>
      <c r="J16" s="6">
        <v>3.9</v>
      </c>
      <c r="K16" s="6">
        <v>4</v>
      </c>
      <c r="L16" s="6">
        <v>2.7</v>
      </c>
      <c r="M16" s="6">
        <v>4</v>
      </c>
      <c r="N16" s="6">
        <f t="shared" si="0"/>
        <v>3.48</v>
      </c>
      <c r="O16" s="6">
        <f t="array" ref="O16">IF(B16="","",ROUND((SUMPRODUCT('Semester 1'!D16:I16,{4,3,3,3,3,0})+SUMPRODUCT('Semester 2'!D16:I16,{4,3,3,3,4,0})+SUMPRODUCT('Semester 3'!D16:N16,{3,1,2,1,2,2,1,2,1,2,2})+SUMPRODUCT(D16:M16,{2,1,2,1,2,1,2,3,2,2}))/70,2))</f>
        <v>3.67</v>
      </c>
      <c r="P16" s="4" t="s">
        <v>17</v>
      </c>
    </row>
    <row r="17" spans="1:16" ht="14.25" customHeight="1">
      <c r="A17" s="4">
        <v>11</v>
      </c>
      <c r="B17" s="4" t="s">
        <v>37</v>
      </c>
      <c r="C17" s="5" t="s">
        <v>38</v>
      </c>
      <c r="D17" s="6">
        <v>3</v>
      </c>
      <c r="E17" s="6">
        <v>3.4</v>
      </c>
      <c r="F17" s="6">
        <v>2</v>
      </c>
      <c r="G17" s="6">
        <v>2.7</v>
      </c>
      <c r="H17" s="6">
        <v>2</v>
      </c>
      <c r="I17" s="6">
        <v>2</v>
      </c>
      <c r="J17" s="6">
        <v>3.7</v>
      </c>
      <c r="K17" s="6">
        <v>2.9</v>
      </c>
      <c r="L17" s="6">
        <v>3.1</v>
      </c>
      <c r="M17" s="6">
        <v>3.6</v>
      </c>
      <c r="N17" s="6">
        <f t="shared" si="0"/>
        <v>2.87</v>
      </c>
      <c r="O17" s="6">
        <f t="array" ref="O17">IF(B17="","",ROUND((SUMPRODUCT('Semester 1'!D17:I17,{4,3,3,3,3,0})+SUMPRODUCT('Semester 2'!D17:I17,{4,3,3,3,4,0})+SUMPRODUCT('Semester 3'!D17:N17,{3,1,2,1,2,2,1,2,1,2,2})+SUMPRODUCT(D17:M17,{2,1,2,1,2,1,2,3,2,2}))/70,2))</f>
        <v>3.26</v>
      </c>
      <c r="P17" s="4" t="s">
        <v>17</v>
      </c>
    </row>
    <row r="18" spans="1:16" ht="14.25" customHeight="1">
      <c r="A18" s="4">
        <v>12</v>
      </c>
      <c r="B18" s="4" t="s">
        <v>39</v>
      </c>
      <c r="C18" s="5" t="s">
        <v>40</v>
      </c>
      <c r="D18" s="6">
        <v>3.7</v>
      </c>
      <c r="E18" s="6">
        <v>3.8</v>
      </c>
      <c r="F18" s="6">
        <v>2.7</v>
      </c>
      <c r="G18" s="6">
        <v>3.7</v>
      </c>
      <c r="H18" s="6">
        <v>2.2000000000000002</v>
      </c>
      <c r="I18" s="6">
        <v>2.9</v>
      </c>
      <c r="J18" s="6">
        <v>3.7</v>
      </c>
      <c r="K18" s="6">
        <v>4</v>
      </c>
      <c r="L18" s="6">
        <v>3.1</v>
      </c>
      <c r="M18" s="6">
        <v>4</v>
      </c>
      <c r="N18" s="6">
        <f t="shared" si="0"/>
        <v>3.4</v>
      </c>
      <c r="O18" s="6">
        <f t="array" ref="O18">IF(B18="","",ROUND((SUMPRODUCT('Semester 1'!D18:I18,{4,3,3,3,3,0})+SUMPRODUCT('Semester 2'!D18:I18,{4,3,3,3,4,0})+SUMPRODUCT('Semester 3'!D18:N18,{3,1,2,1,2,2,1,2,1,2,2})+SUMPRODUCT(D18:M18,{2,1,2,1,2,1,2,3,2,2}))/70,2))</f>
        <v>3.73</v>
      </c>
      <c r="P18" s="4" t="s">
        <v>17</v>
      </c>
    </row>
    <row r="19" spans="1:16" ht="14.25" customHeight="1">
      <c r="A19" s="4">
        <v>13</v>
      </c>
      <c r="B19" s="4" t="s">
        <v>41</v>
      </c>
      <c r="C19" s="5" t="s">
        <v>42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f t="shared" si="0"/>
        <v>0</v>
      </c>
      <c r="O19" s="6">
        <f t="array" ref="O19">IF(B19="","",ROUND((SUMPRODUCT('Semester 1'!D19:I19,{4,3,3,3,3,0})+SUMPRODUCT('Semester 2'!D19:I19,{4,3,3,3,4,0})+SUMPRODUCT('Semester 3'!D19:N19,{3,1,2,1,2,2,1,2,1,2,2})+SUMPRODUCT(D19:M19,{2,1,2,1,2,1,2,3,2,2}))/70,2))</f>
        <v>0.3</v>
      </c>
      <c r="P19" s="4" t="s">
        <v>43</v>
      </c>
    </row>
    <row r="20" spans="1:16" ht="14.25" customHeight="1">
      <c r="A20" s="4">
        <v>14</v>
      </c>
      <c r="B20" s="4" t="s">
        <v>44</v>
      </c>
      <c r="C20" s="5" t="s">
        <v>45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f t="shared" si="0"/>
        <v>0</v>
      </c>
      <c r="O20" s="6">
        <f t="array" ref="O20">IF(B20="","",ROUND((SUMPRODUCT('Semester 1'!D20:I20,{4,3,3,3,3,0})+SUMPRODUCT('Semester 2'!D20:I20,{4,3,3,3,4,0})+SUMPRODUCT('Semester 3'!D20:N20,{3,1,2,1,2,2,1,2,1,2,2})+SUMPRODUCT(D20:M20,{2,1,2,1,2,1,2,3,2,2}))/70,2))</f>
        <v>0</v>
      </c>
      <c r="P20" s="4" t="s">
        <v>43</v>
      </c>
    </row>
    <row r="21" spans="1:16" ht="14.25" customHeight="1">
      <c r="A21" s="4">
        <v>15</v>
      </c>
      <c r="B21" s="4" t="s">
        <v>46</v>
      </c>
      <c r="C21" s="5" t="s">
        <v>47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f t="shared" si="0"/>
        <v>0</v>
      </c>
      <c r="O21" s="6">
        <f t="array" ref="O21">IF(B21="","",ROUND((SUMPRODUCT('Semester 1'!D21:I21,{4,3,3,3,3,0})+SUMPRODUCT('Semester 2'!D21:I21,{4,3,3,3,4,0})+SUMPRODUCT('Semester 3'!D21:N21,{3,1,2,1,2,2,1,2,1,2,2})+SUMPRODUCT(D21:M21,{2,1,2,1,2,1,2,3,2,2}))/70,2))</f>
        <v>0</v>
      </c>
      <c r="P21" s="4" t="s">
        <v>43</v>
      </c>
    </row>
    <row r="22" spans="1:16" ht="14.25" customHeight="1">
      <c r="A22" s="4">
        <v>16</v>
      </c>
      <c r="B22" s="4" t="s">
        <v>48</v>
      </c>
      <c r="C22" s="5" t="s">
        <v>49</v>
      </c>
      <c r="D22" s="6">
        <v>2.4</v>
      </c>
      <c r="E22" s="6">
        <v>3</v>
      </c>
      <c r="F22" s="6">
        <v>3.6</v>
      </c>
      <c r="G22" s="6">
        <v>4</v>
      </c>
      <c r="H22" s="6">
        <v>2</v>
      </c>
      <c r="I22" s="6">
        <v>2</v>
      </c>
      <c r="J22" s="6">
        <v>4</v>
      </c>
      <c r="K22" s="6">
        <v>3.8</v>
      </c>
      <c r="L22" s="6">
        <v>2.9</v>
      </c>
      <c r="M22" s="6">
        <v>4</v>
      </c>
      <c r="N22" s="6">
        <f t="shared" si="0"/>
        <v>3.23</v>
      </c>
      <c r="O22" s="6">
        <f t="array" ref="O22">IF(B22="","",ROUND((SUMPRODUCT('Semester 1'!D22:I22,{4,3,3,3,3,0})+SUMPRODUCT('Semester 2'!D22:I22,{4,3,3,3,4,0})+SUMPRODUCT('Semester 3'!D22:N22,{3,1,2,1,2,2,1,2,1,2,2})+SUMPRODUCT(D22:M22,{2,1,2,1,2,1,2,3,2,2}))/70,2))</f>
        <v>3.44</v>
      </c>
      <c r="P22" s="4" t="s">
        <v>17</v>
      </c>
    </row>
    <row r="23" spans="1:16" ht="14.25" customHeight="1">
      <c r="A23" s="4">
        <v>17</v>
      </c>
      <c r="B23" s="4" t="s">
        <v>50</v>
      </c>
      <c r="C23" s="5" t="s">
        <v>51</v>
      </c>
      <c r="D23" s="6">
        <v>0</v>
      </c>
      <c r="E23" s="6">
        <v>0</v>
      </c>
      <c r="F23" s="6">
        <v>4</v>
      </c>
      <c r="G23" s="6">
        <v>4</v>
      </c>
      <c r="H23" s="6">
        <v>2.2999999999999998</v>
      </c>
      <c r="I23" s="6">
        <v>2</v>
      </c>
      <c r="J23" s="6">
        <v>2.5</v>
      </c>
      <c r="K23" s="6">
        <v>3.5</v>
      </c>
      <c r="L23" s="6">
        <v>2.9</v>
      </c>
      <c r="M23" s="6">
        <v>4</v>
      </c>
      <c r="N23" s="6">
        <f t="shared" si="0"/>
        <v>2.66</v>
      </c>
      <c r="O23" s="6">
        <f t="array" ref="O23">IF(B23="","",ROUND((SUMPRODUCT('Semester 1'!D23:I23,{4,3,3,3,3,0})+SUMPRODUCT('Semester 2'!D23:I23,{4,3,3,3,4,0})+SUMPRODUCT('Semester 3'!D23:N23,{3,1,2,1,2,2,1,2,1,2,2})+SUMPRODUCT(D23:M23,{2,1,2,1,2,1,2,3,2,2}))/70,2))</f>
        <v>3.53</v>
      </c>
      <c r="P23" s="4" t="s">
        <v>17</v>
      </c>
    </row>
    <row r="24" spans="1:16" ht="14.25" customHeight="1">
      <c r="A24" s="4">
        <v>18</v>
      </c>
      <c r="B24" s="4" t="s">
        <v>52</v>
      </c>
      <c r="C24" s="5" t="s">
        <v>53</v>
      </c>
      <c r="D24" s="6">
        <v>3.1</v>
      </c>
      <c r="E24" s="6">
        <v>3.5</v>
      </c>
      <c r="F24" s="6">
        <v>2</v>
      </c>
      <c r="G24" s="6">
        <v>2</v>
      </c>
      <c r="H24" s="6">
        <v>2</v>
      </c>
      <c r="I24" s="6">
        <v>2</v>
      </c>
      <c r="J24" s="6">
        <v>3.7</v>
      </c>
      <c r="K24" s="6">
        <v>3.9</v>
      </c>
      <c r="L24" s="6">
        <v>2.9</v>
      </c>
      <c r="M24" s="6">
        <v>4</v>
      </c>
      <c r="N24" s="6">
        <f t="shared" si="0"/>
        <v>3.03</v>
      </c>
      <c r="O24" s="6">
        <f t="array" ref="O24">IF(B24="","",ROUND((SUMPRODUCT('Semester 1'!D24:I24,{4,3,3,3,3,0})+SUMPRODUCT('Semester 2'!D24:I24,{4,3,3,3,4,0})+SUMPRODUCT('Semester 3'!D24:N24,{3,1,2,1,2,2,1,2,1,2,2})+SUMPRODUCT(D24:M24,{2,1,2,1,2,1,2,3,2,2}))/70,2))</f>
        <v>3.21</v>
      </c>
      <c r="P24" s="4" t="s">
        <v>17</v>
      </c>
    </row>
    <row r="25" spans="1:16" ht="14.25" customHeight="1">
      <c r="A25" s="4">
        <v>19</v>
      </c>
      <c r="B25" s="4" t="s">
        <v>54</v>
      </c>
      <c r="C25" s="5" t="s">
        <v>55</v>
      </c>
      <c r="D25" s="6">
        <v>3.7</v>
      </c>
      <c r="E25" s="6">
        <v>3.9</v>
      </c>
      <c r="F25" s="6">
        <v>2.2999999999999998</v>
      </c>
      <c r="G25" s="6">
        <v>3.3</v>
      </c>
      <c r="H25" s="6">
        <v>2.4</v>
      </c>
      <c r="I25" s="6">
        <v>2</v>
      </c>
      <c r="J25" s="6">
        <v>4</v>
      </c>
      <c r="K25" s="6">
        <v>4</v>
      </c>
      <c r="L25" s="6">
        <v>2.7</v>
      </c>
      <c r="M25" s="6">
        <v>4</v>
      </c>
      <c r="N25" s="6">
        <f t="shared" si="0"/>
        <v>3.3</v>
      </c>
      <c r="O25" s="6">
        <f t="array" ref="O25">IF(B25="","",ROUND((SUMPRODUCT('Semester 1'!D25:I25,{4,3,3,3,3,0})+SUMPRODUCT('Semester 2'!D25:I25,{4,3,3,3,4,0})+SUMPRODUCT('Semester 3'!D25:N25,{3,1,2,1,2,2,1,2,1,2,2})+SUMPRODUCT(D25:M25,{2,1,2,1,2,1,2,3,2,2}))/70,2))</f>
        <v>3.42</v>
      </c>
      <c r="P25" s="4" t="s">
        <v>17</v>
      </c>
    </row>
    <row r="26" spans="1:16" ht="14.25" customHeight="1">
      <c r="A26" s="4">
        <v>20</v>
      </c>
      <c r="B26" s="4" t="s">
        <v>56</v>
      </c>
      <c r="C26" s="5" t="s">
        <v>57</v>
      </c>
      <c r="D26" s="6">
        <v>2.1</v>
      </c>
      <c r="E26" s="6">
        <v>2.7</v>
      </c>
      <c r="F26" s="6">
        <v>0</v>
      </c>
      <c r="G26" s="6">
        <v>0</v>
      </c>
      <c r="H26" s="6">
        <v>0</v>
      </c>
      <c r="I26" s="6">
        <v>0</v>
      </c>
      <c r="J26" s="6">
        <v>3.3</v>
      </c>
      <c r="K26" s="6">
        <v>3.4</v>
      </c>
      <c r="L26" s="6">
        <v>2.5</v>
      </c>
      <c r="M26" s="6">
        <v>4</v>
      </c>
      <c r="N26" s="6">
        <f t="shared" si="0"/>
        <v>2.04</v>
      </c>
      <c r="O26" s="6">
        <f t="array" ref="O26">IF(B26="","",ROUND((SUMPRODUCT('Semester 1'!D26:I26,{4,3,3,3,3,0})+SUMPRODUCT('Semester 2'!D26:I26,{4,3,3,3,4,0})+SUMPRODUCT('Semester 3'!D26:N26,{3,1,2,1,2,2,1,2,1,2,2})+SUMPRODUCT(D26:M26,{2,1,2,1,2,1,2,3,2,2}))/70,2))</f>
        <v>2.73</v>
      </c>
      <c r="P26" s="4" t="s">
        <v>17</v>
      </c>
    </row>
    <row r="27" spans="1:16" ht="14.25" customHeight="1">
      <c r="A27" s="4">
        <v>21</v>
      </c>
      <c r="B27" s="4" t="s">
        <v>58</v>
      </c>
      <c r="C27" s="5" t="s">
        <v>59</v>
      </c>
      <c r="D27" s="6">
        <v>2.2999999999999998</v>
      </c>
      <c r="E27" s="6">
        <v>2.7</v>
      </c>
      <c r="F27" s="6">
        <v>2.2999999999999998</v>
      </c>
      <c r="G27" s="6">
        <v>3.3</v>
      </c>
      <c r="H27" s="6">
        <v>2.1</v>
      </c>
      <c r="I27" s="6">
        <v>2.9</v>
      </c>
      <c r="J27" s="6">
        <v>4</v>
      </c>
      <c r="K27" s="6">
        <v>4</v>
      </c>
      <c r="L27" s="6">
        <v>2.4</v>
      </c>
      <c r="M27" s="6">
        <v>4</v>
      </c>
      <c r="N27" s="6">
        <f t="shared" si="0"/>
        <v>3.06</v>
      </c>
      <c r="O27" s="6">
        <f t="array" ref="O27">IF(B27="","",ROUND((SUMPRODUCT('Semester 1'!D27:I27,{4,3,3,3,3,0})+SUMPRODUCT('Semester 2'!D27:I27,{4,3,3,3,4,0})+SUMPRODUCT('Semester 3'!D27:N27,{3,1,2,1,2,2,1,2,1,2,2})+SUMPRODUCT(D27:M27,{2,1,2,1,2,1,2,3,2,2}))/70,2))</f>
        <v>3.38</v>
      </c>
      <c r="P27" s="4" t="s">
        <v>17</v>
      </c>
    </row>
    <row r="28" spans="1:16" ht="14.25" customHeight="1">
      <c r="A28" s="4">
        <v>22</v>
      </c>
      <c r="B28" s="4" t="s">
        <v>60</v>
      </c>
      <c r="C28" s="5" t="s">
        <v>61</v>
      </c>
      <c r="D28" s="6">
        <v>2.7</v>
      </c>
      <c r="E28" s="6">
        <v>3.2</v>
      </c>
      <c r="F28" s="6">
        <v>2</v>
      </c>
      <c r="G28" s="6">
        <v>3</v>
      </c>
      <c r="H28" s="6">
        <v>2.2999999999999998</v>
      </c>
      <c r="I28" s="6">
        <v>2</v>
      </c>
      <c r="J28" s="6">
        <v>3.7</v>
      </c>
      <c r="K28" s="6">
        <v>2.7</v>
      </c>
      <c r="L28" s="6">
        <v>2.9</v>
      </c>
      <c r="M28" s="6">
        <v>4</v>
      </c>
      <c r="N28" s="6">
        <f t="shared" si="0"/>
        <v>2.86</v>
      </c>
      <c r="O28" s="6">
        <f t="array" ref="O28">IF(B28="","",ROUND((SUMPRODUCT('Semester 1'!D28:I28,{4,3,3,3,3,0})+SUMPRODUCT('Semester 2'!D28:I28,{4,3,3,3,4,0})+SUMPRODUCT('Semester 3'!D28:N28,{3,1,2,1,2,2,1,2,1,2,2})+SUMPRODUCT(D28:M28,{2,1,2,1,2,1,2,3,2,2}))/70,2))</f>
        <v>3.14</v>
      </c>
      <c r="P28" s="4" t="s">
        <v>17</v>
      </c>
    </row>
    <row r="29" spans="1:16" ht="14.25" customHeight="1">
      <c r="A29" s="4">
        <v>23</v>
      </c>
      <c r="B29" s="4" t="s">
        <v>62</v>
      </c>
      <c r="C29" s="5" t="s">
        <v>63</v>
      </c>
      <c r="D29" s="6">
        <v>3.1</v>
      </c>
      <c r="E29" s="6">
        <v>3.5</v>
      </c>
      <c r="F29" s="6">
        <v>2</v>
      </c>
      <c r="G29" s="6">
        <v>3.7</v>
      </c>
      <c r="H29" s="6">
        <v>2</v>
      </c>
      <c r="I29" s="6">
        <v>2</v>
      </c>
      <c r="J29" s="6">
        <v>3.9</v>
      </c>
      <c r="K29" s="6">
        <v>3.7</v>
      </c>
      <c r="L29" s="6">
        <v>2.6</v>
      </c>
      <c r="M29" s="6">
        <v>4</v>
      </c>
      <c r="N29" s="6">
        <f t="shared" si="0"/>
        <v>3.08</v>
      </c>
      <c r="O29" s="6">
        <f t="array" ref="O29">IF(B29="","",ROUND((SUMPRODUCT('Semester 1'!D29:I29,{4,3,3,3,3,0})+SUMPRODUCT('Semester 2'!D29:I29,{4,3,3,3,4,0})+SUMPRODUCT('Semester 3'!D29:N29,{3,1,2,1,2,2,1,2,1,2,2})+SUMPRODUCT(D29:M29,{2,1,2,1,2,1,2,3,2,2}))/70,2))</f>
        <v>3.46</v>
      </c>
      <c r="P29" s="4" t="s">
        <v>17</v>
      </c>
    </row>
    <row r="30" spans="1:16" ht="14.25" customHeight="1">
      <c r="A30" s="4">
        <v>24</v>
      </c>
      <c r="B30" s="4" t="s">
        <v>64</v>
      </c>
      <c r="C30" s="5" t="s">
        <v>65</v>
      </c>
      <c r="D30" s="6">
        <v>2.9</v>
      </c>
      <c r="E30" s="6">
        <v>3.3</v>
      </c>
      <c r="F30" s="6">
        <v>2.7</v>
      </c>
      <c r="G30" s="6">
        <v>3.7</v>
      </c>
      <c r="H30" s="6">
        <v>2</v>
      </c>
      <c r="I30" s="6">
        <v>2.4</v>
      </c>
      <c r="J30" s="6">
        <v>3.8</v>
      </c>
      <c r="K30" s="6">
        <v>4</v>
      </c>
      <c r="L30" s="6">
        <v>2.6</v>
      </c>
      <c r="M30" s="6">
        <v>4</v>
      </c>
      <c r="N30" s="6">
        <f t="shared" si="0"/>
        <v>3.19</v>
      </c>
      <c r="O30" s="6">
        <f t="array" ref="O30">IF(B30="","",ROUND((SUMPRODUCT('Semester 1'!D30:I30,{4,3,3,3,3,0})+SUMPRODUCT('Semester 2'!D30:I30,{4,3,3,3,4,0})+SUMPRODUCT('Semester 3'!D30:N30,{3,1,2,1,2,2,1,2,1,2,2})+SUMPRODUCT(D30:M30,{2,1,2,1,2,1,2,3,2,2}))/70,2))</f>
        <v>3.29</v>
      </c>
      <c r="P30" s="4" t="s">
        <v>17</v>
      </c>
    </row>
    <row r="31" spans="1:16" ht="14.25" customHeight="1">
      <c r="A31" s="4">
        <v>25</v>
      </c>
      <c r="B31" s="4" t="s">
        <v>66</v>
      </c>
      <c r="C31" s="5" t="s">
        <v>67</v>
      </c>
      <c r="D31" s="6">
        <v>2.5</v>
      </c>
      <c r="E31" s="6">
        <v>3</v>
      </c>
      <c r="F31" s="6">
        <v>2</v>
      </c>
      <c r="G31" s="6">
        <v>3.3</v>
      </c>
      <c r="H31" s="6">
        <v>2</v>
      </c>
      <c r="I31" s="6">
        <v>2</v>
      </c>
      <c r="J31" s="6">
        <v>3.7</v>
      </c>
      <c r="K31" s="6">
        <v>2.5</v>
      </c>
      <c r="L31" s="6">
        <v>2.7</v>
      </c>
      <c r="M31" s="6">
        <v>4</v>
      </c>
      <c r="N31" s="6">
        <f t="shared" si="0"/>
        <v>2.76</v>
      </c>
      <c r="O31" s="6">
        <f t="array" ref="O31">IF(B31="","",ROUND((SUMPRODUCT('Semester 1'!D31:I31,{4,3,3,3,3,0})+SUMPRODUCT('Semester 2'!D31:I31,{4,3,3,3,4,0})+SUMPRODUCT('Semester 3'!D31:N31,{3,1,2,1,2,2,1,2,1,2,2})+SUMPRODUCT(D31:M31,{2,1,2,1,2,1,2,3,2,2}))/70,2))</f>
        <v>3.1</v>
      </c>
      <c r="P31" s="4" t="s">
        <v>17</v>
      </c>
    </row>
    <row r="32" spans="1:16" ht="14.25" customHeight="1">
      <c r="A32" s="4">
        <v>26</v>
      </c>
      <c r="B32" s="4" t="s">
        <v>68</v>
      </c>
      <c r="C32" s="5" t="s">
        <v>69</v>
      </c>
      <c r="D32" s="6">
        <v>2.2999999999999998</v>
      </c>
      <c r="E32" s="6">
        <v>2.7</v>
      </c>
      <c r="F32" s="6">
        <v>2</v>
      </c>
      <c r="G32" s="6">
        <v>2.7</v>
      </c>
      <c r="H32" s="6">
        <v>0</v>
      </c>
      <c r="I32" s="6">
        <v>0</v>
      </c>
      <c r="J32" s="6">
        <v>3.7</v>
      </c>
      <c r="K32" s="6">
        <v>2.5</v>
      </c>
      <c r="L32" s="6">
        <v>2.5</v>
      </c>
      <c r="M32" s="6">
        <v>4</v>
      </c>
      <c r="N32" s="6">
        <f t="shared" si="0"/>
        <v>2.33</v>
      </c>
      <c r="O32" s="6">
        <f t="array" ref="O32">IF(B32="","",ROUND((SUMPRODUCT('Semester 1'!D32:I32,{4,3,3,3,3,0})+SUMPRODUCT('Semester 2'!D32:I32,{4,3,3,3,4,0})+SUMPRODUCT('Semester 3'!D32:N32,{3,1,2,1,2,2,1,2,1,2,2})+SUMPRODUCT(D32:M32,{2,1,2,1,2,1,2,3,2,2}))/70,2))</f>
        <v>2.99</v>
      </c>
      <c r="P32" s="4" t="s">
        <v>17</v>
      </c>
    </row>
    <row r="33" spans="1:16" ht="14.25" customHeight="1">
      <c r="A33" s="4">
        <v>27</v>
      </c>
      <c r="B33" s="4" t="s">
        <v>70</v>
      </c>
      <c r="C33" s="5" t="s">
        <v>71</v>
      </c>
      <c r="D33" s="6">
        <v>2.9</v>
      </c>
      <c r="E33" s="6">
        <v>3.2</v>
      </c>
      <c r="F33" s="6">
        <v>0</v>
      </c>
      <c r="G33" s="6">
        <v>0</v>
      </c>
      <c r="H33" s="6">
        <v>2.7</v>
      </c>
      <c r="I33" s="6">
        <v>3</v>
      </c>
      <c r="J33" s="6">
        <v>3.7</v>
      </c>
      <c r="K33" s="6">
        <v>3.1</v>
      </c>
      <c r="L33" s="6">
        <v>2.7</v>
      </c>
      <c r="M33" s="6">
        <v>3.7</v>
      </c>
      <c r="N33" s="6">
        <f t="shared" si="0"/>
        <v>2.61</v>
      </c>
      <c r="O33" s="6">
        <f t="array" ref="O33">IF(B33="","",ROUND((SUMPRODUCT('Semester 1'!D33:I33,{4,3,3,3,3,0})+SUMPRODUCT('Semester 2'!D33:I33,{4,3,3,3,4,0})+SUMPRODUCT('Semester 3'!D33:N33,{3,1,2,1,2,2,1,2,1,2,2})+SUMPRODUCT(D33:M33,{2,1,2,1,2,1,2,3,2,2}))/70,2))</f>
        <v>2.97</v>
      </c>
      <c r="P33" s="4" t="s">
        <v>17</v>
      </c>
    </row>
    <row r="34" spans="1:16" ht="14.25" customHeight="1">
      <c r="A34" s="4">
        <v>28</v>
      </c>
      <c r="B34" s="4" t="s">
        <v>72</v>
      </c>
      <c r="C34" s="5" t="s">
        <v>73</v>
      </c>
      <c r="D34" s="6">
        <v>2.7</v>
      </c>
      <c r="E34" s="6">
        <v>3.1</v>
      </c>
      <c r="F34" s="6">
        <v>2.4</v>
      </c>
      <c r="G34" s="6">
        <v>2.7</v>
      </c>
      <c r="H34" s="6">
        <v>2.2999999999999998</v>
      </c>
      <c r="I34" s="6">
        <v>2</v>
      </c>
      <c r="J34" s="6">
        <v>3.6</v>
      </c>
      <c r="K34" s="6">
        <v>4</v>
      </c>
      <c r="L34" s="6">
        <v>2.7</v>
      </c>
      <c r="M34" s="6">
        <v>4</v>
      </c>
      <c r="N34" s="6">
        <f t="shared" si="0"/>
        <v>3.07</v>
      </c>
      <c r="O34" s="6">
        <f t="array" ref="O34">IF(B34="","",ROUND((SUMPRODUCT('Semester 1'!D34:I34,{4,3,3,3,3,0})+SUMPRODUCT('Semester 2'!D34:I34,{4,3,3,3,4,0})+SUMPRODUCT('Semester 3'!D34:N34,{3,1,2,1,2,2,1,2,1,2,2})+SUMPRODUCT(D34:M34,{2,1,2,1,2,1,2,3,2,2}))/70,2))</f>
        <v>3.51</v>
      </c>
      <c r="P34" s="4" t="s">
        <v>17</v>
      </c>
    </row>
    <row r="35" spans="1:16" ht="14.25" customHeight="1">
      <c r="A35" s="4">
        <v>29</v>
      </c>
      <c r="B35" s="4" t="s">
        <v>74</v>
      </c>
      <c r="C35" s="5" t="s">
        <v>75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f t="shared" si="0"/>
        <v>0</v>
      </c>
      <c r="O35" s="6">
        <f t="array" ref="O35">IF(B35="","",ROUND((SUMPRODUCT('Semester 1'!D35:I35,{4,3,3,3,3,0})+SUMPRODUCT('Semester 2'!D35:I35,{4,3,3,3,4,0})+SUMPRODUCT('Semester 3'!D35:N35,{3,1,2,1,2,2,1,2,1,2,2})+SUMPRODUCT(D35:M35,{2,1,2,1,2,1,2,3,2,2}))/70,2))</f>
        <v>1.51</v>
      </c>
      <c r="P35" s="4" t="s">
        <v>43</v>
      </c>
    </row>
    <row r="36" spans="1:16" ht="14.25" customHeight="1">
      <c r="A36" s="4">
        <v>30</v>
      </c>
      <c r="B36" s="4" t="s">
        <v>76</v>
      </c>
      <c r="C36" s="5" t="s">
        <v>77</v>
      </c>
      <c r="D36" s="6">
        <v>2.7</v>
      </c>
      <c r="E36" s="6">
        <v>3.1</v>
      </c>
      <c r="F36" s="6">
        <v>0</v>
      </c>
      <c r="G36" s="6">
        <v>0</v>
      </c>
      <c r="H36" s="6">
        <v>0</v>
      </c>
      <c r="I36" s="6">
        <v>0</v>
      </c>
      <c r="J36" s="6">
        <v>3.7</v>
      </c>
      <c r="K36" s="6">
        <v>3.4</v>
      </c>
      <c r="L36" s="6">
        <v>2.2999999999999998</v>
      </c>
      <c r="M36" s="6">
        <v>3.5</v>
      </c>
      <c r="N36" s="6">
        <f t="shared" si="0"/>
        <v>2.09</v>
      </c>
      <c r="O36" s="6">
        <f t="array" ref="O36">IF(B36="","",ROUND((SUMPRODUCT('Semester 1'!D36:I36,{4,3,3,3,3,0})+SUMPRODUCT('Semester 2'!D36:I36,{4,3,3,3,4,0})+SUMPRODUCT('Semester 3'!D36:N36,{3,1,2,1,2,2,1,2,1,2,2})+SUMPRODUCT(D36:M36,{2,1,2,1,2,1,2,3,2,2}))/70,2))</f>
        <v>2.5299999999999998</v>
      </c>
      <c r="P36" s="4" t="s">
        <v>17</v>
      </c>
    </row>
    <row r="37" spans="1:16" ht="14.25" customHeight="1">
      <c r="A37" s="4">
        <v>31</v>
      </c>
      <c r="B37" s="4" t="s">
        <v>78</v>
      </c>
      <c r="C37" s="5" t="s">
        <v>79</v>
      </c>
      <c r="D37" s="6">
        <v>3.4</v>
      </c>
      <c r="E37" s="6">
        <v>3.7</v>
      </c>
      <c r="F37" s="6">
        <v>3.6</v>
      </c>
      <c r="G37" s="6">
        <v>3.3</v>
      </c>
      <c r="H37" s="6">
        <v>2.7</v>
      </c>
      <c r="I37" s="6">
        <v>2.5</v>
      </c>
      <c r="J37" s="6">
        <v>3.8</v>
      </c>
      <c r="K37" s="6">
        <v>4</v>
      </c>
      <c r="L37" s="6">
        <v>3.2</v>
      </c>
      <c r="M37" s="6">
        <v>4</v>
      </c>
      <c r="N37" s="6">
        <f t="shared" si="0"/>
        <v>3.49</v>
      </c>
      <c r="O37" s="6">
        <f t="array" ref="O37">IF(B37="","",ROUND((SUMPRODUCT('Semester 1'!D37:I37,{4,3,3,3,3,0})+SUMPRODUCT('Semester 2'!D37:I37,{4,3,3,3,4,0})+SUMPRODUCT('Semester 3'!D37:N37,{3,1,2,1,2,2,1,2,1,2,2})+SUMPRODUCT(D37:M37,{2,1,2,1,2,1,2,3,2,2}))/70,2))</f>
        <v>3.8</v>
      </c>
      <c r="P37" s="4" t="s">
        <v>17</v>
      </c>
    </row>
    <row r="38" spans="1:16" ht="14.25" customHeight="1">
      <c r="A38" s="4">
        <v>32</v>
      </c>
      <c r="B38" s="4" t="s">
        <v>80</v>
      </c>
      <c r="C38" s="5" t="s">
        <v>81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f t="shared" si="0"/>
        <v>0</v>
      </c>
      <c r="O38" s="6">
        <f t="array" ref="O38">IF(B38="","",ROUND((SUMPRODUCT('Semester 1'!D38:I38,{4,3,3,3,3,0})+SUMPRODUCT('Semester 2'!D38:I38,{4,3,3,3,4,0})+SUMPRODUCT('Semester 3'!D38:N38,{3,1,2,1,2,2,1,2,1,2,2})+SUMPRODUCT(D38:M38,{2,1,2,1,2,1,2,3,2,2}))/70,2))</f>
        <v>0.89</v>
      </c>
      <c r="P38" s="4" t="s">
        <v>43</v>
      </c>
    </row>
    <row r="39" spans="1:16" ht="14.25" customHeight="1">
      <c r="A39" s="4">
        <v>33</v>
      </c>
      <c r="B39" s="4" t="s">
        <v>82</v>
      </c>
      <c r="C39" s="5" t="s">
        <v>83</v>
      </c>
      <c r="D39" s="6">
        <v>2.8</v>
      </c>
      <c r="E39" s="6">
        <v>3.7</v>
      </c>
      <c r="F39" s="6">
        <v>3.7</v>
      </c>
      <c r="G39" s="6">
        <v>3.3</v>
      </c>
      <c r="H39" s="6">
        <v>2.2999999999999998</v>
      </c>
      <c r="I39" s="6">
        <v>2</v>
      </c>
      <c r="J39" s="6">
        <v>3.7</v>
      </c>
      <c r="K39" s="6">
        <v>3</v>
      </c>
      <c r="L39" s="6">
        <v>2.7</v>
      </c>
      <c r="M39" s="6">
        <v>0</v>
      </c>
      <c r="N39" s="6">
        <f t="shared" si="0"/>
        <v>2.69</v>
      </c>
      <c r="O39" s="6">
        <f t="array" ref="O39">IF(B39="","",ROUND((SUMPRODUCT('Semester 1'!D39:I39,{4,3,3,3,3,0})+SUMPRODUCT('Semester 2'!D39:I39,{4,3,3,3,4,0})+SUMPRODUCT('Semester 3'!D39:N39,{3,1,2,1,2,2,1,2,1,2,2})+SUMPRODUCT(D39:M39,{2,1,2,1,2,1,2,3,2,2}))/70,2))</f>
        <v>3.39</v>
      </c>
      <c r="P39" s="4" t="s">
        <v>17</v>
      </c>
    </row>
    <row r="40" spans="1:16" ht="14.25" customHeight="1">
      <c r="A40" s="4">
        <v>34</v>
      </c>
      <c r="B40" s="4" t="s">
        <v>84</v>
      </c>
      <c r="C40" s="5" t="s">
        <v>85</v>
      </c>
      <c r="D40" s="6">
        <v>2.5</v>
      </c>
      <c r="E40" s="6">
        <v>3</v>
      </c>
      <c r="F40" s="6">
        <v>2.2999999999999998</v>
      </c>
      <c r="G40" s="6">
        <v>3</v>
      </c>
      <c r="H40" s="6">
        <v>2</v>
      </c>
      <c r="I40" s="6">
        <v>2</v>
      </c>
      <c r="J40" s="6">
        <v>3.7</v>
      </c>
      <c r="K40" s="6">
        <v>3.2</v>
      </c>
      <c r="L40" s="6">
        <v>2.5</v>
      </c>
      <c r="M40" s="6">
        <v>4</v>
      </c>
      <c r="N40" s="6">
        <f t="shared" si="0"/>
        <v>2.87</v>
      </c>
      <c r="O40" s="6">
        <f t="array" ref="O40">IF(B40="","",ROUND((SUMPRODUCT('Semester 1'!D40:I40,{4,3,3,3,3,0})+SUMPRODUCT('Semester 2'!D40:I40,{4,3,3,3,4,0})+SUMPRODUCT('Semester 3'!D40:N40,{3,1,2,1,2,2,1,2,1,2,2})+SUMPRODUCT(D40:M40,{2,1,2,1,2,1,2,3,2,2}))/70,2))</f>
        <v>3.15</v>
      </c>
      <c r="P40" s="4" t="s">
        <v>17</v>
      </c>
    </row>
    <row r="41" spans="1:16" ht="14.25" customHeight="1">
      <c r="A41" s="4">
        <v>35</v>
      </c>
      <c r="B41" s="4" t="s">
        <v>86</v>
      </c>
      <c r="C41" s="5" t="s">
        <v>87</v>
      </c>
      <c r="D41" s="6">
        <v>2.2999999999999998</v>
      </c>
      <c r="E41" s="6">
        <v>2.7</v>
      </c>
      <c r="F41" s="6">
        <v>2</v>
      </c>
      <c r="G41" s="6">
        <v>2.7</v>
      </c>
      <c r="H41" s="6">
        <v>2</v>
      </c>
      <c r="I41" s="6">
        <v>2</v>
      </c>
      <c r="J41" s="6">
        <v>3.7</v>
      </c>
      <c r="K41" s="6">
        <v>3.9</v>
      </c>
      <c r="L41" s="6">
        <v>2.1</v>
      </c>
      <c r="M41" s="6">
        <v>4</v>
      </c>
      <c r="N41" s="6">
        <f t="shared" si="0"/>
        <v>2.85</v>
      </c>
      <c r="O41" s="6">
        <f t="array" ref="O41">IF(B41="","",ROUND((SUMPRODUCT('Semester 1'!D41:I41,{4,3,3,3,3,0})+SUMPRODUCT('Semester 2'!D41:I41,{4,3,3,3,4,0})+SUMPRODUCT('Semester 3'!D41:N41,{3,1,2,1,2,2,1,2,1,2,2})+SUMPRODUCT(D41:M41,{2,1,2,1,2,1,2,3,2,2}))/70,2))</f>
        <v>3</v>
      </c>
      <c r="P41" s="4" t="s">
        <v>17</v>
      </c>
    </row>
    <row r="42" spans="1:16" ht="14.25" customHeight="1">
      <c r="A42" s="4">
        <v>36</v>
      </c>
      <c r="B42" s="4" t="s">
        <v>88</v>
      </c>
      <c r="C42" s="5" t="s">
        <v>89</v>
      </c>
      <c r="D42" s="6">
        <v>2.9</v>
      </c>
      <c r="E42" s="6">
        <v>3.8</v>
      </c>
      <c r="F42" s="6">
        <v>2.6</v>
      </c>
      <c r="G42" s="6">
        <v>3.7</v>
      </c>
      <c r="H42" s="6">
        <v>2</v>
      </c>
      <c r="I42" s="6">
        <v>2</v>
      </c>
      <c r="J42" s="6">
        <v>3.8</v>
      </c>
      <c r="K42" s="6">
        <v>2.4</v>
      </c>
      <c r="L42" s="6">
        <v>3.1</v>
      </c>
      <c r="M42" s="6">
        <v>4</v>
      </c>
      <c r="N42" s="6">
        <f t="shared" si="0"/>
        <v>2.97</v>
      </c>
      <c r="O42" s="6">
        <f t="array" ref="O42">IF(B42="","",ROUND((SUMPRODUCT('Semester 1'!D42:I42,{4,3,3,3,3,0})+SUMPRODUCT('Semester 2'!D42:I42,{4,3,3,3,4,0})+SUMPRODUCT('Semester 3'!D42:N42,{3,1,2,1,2,2,1,2,1,2,2})+SUMPRODUCT(D42:M42,{2,1,2,1,2,1,2,3,2,2}))/70,2))</f>
        <v>3.27</v>
      </c>
      <c r="P42" s="4" t="s">
        <v>17</v>
      </c>
    </row>
    <row r="43" spans="1:16" ht="14.25" customHeight="1">
      <c r="A43" s="4">
        <v>37</v>
      </c>
      <c r="B43" s="4" t="s">
        <v>90</v>
      </c>
      <c r="C43" s="5" t="s">
        <v>91</v>
      </c>
      <c r="D43" s="6">
        <v>2.5</v>
      </c>
      <c r="E43" s="6">
        <v>3</v>
      </c>
      <c r="F43" s="6">
        <v>2.5</v>
      </c>
      <c r="G43" s="6">
        <v>3</v>
      </c>
      <c r="H43" s="6">
        <v>2.1</v>
      </c>
      <c r="I43" s="6">
        <v>2</v>
      </c>
      <c r="J43" s="6">
        <v>3.5</v>
      </c>
      <c r="K43" s="6">
        <v>4</v>
      </c>
      <c r="L43" s="6">
        <v>3.1</v>
      </c>
      <c r="M43" s="6">
        <v>4</v>
      </c>
      <c r="N43" s="6">
        <f t="shared" si="0"/>
        <v>3.08</v>
      </c>
      <c r="O43" s="6">
        <f t="array" ref="O43">IF(B43="","",ROUND((SUMPRODUCT('Semester 1'!D43:I43,{4,3,3,3,3,0})+SUMPRODUCT('Semester 2'!D43:I43,{4,3,3,3,4,0})+SUMPRODUCT('Semester 3'!D43:N43,{3,1,2,1,2,2,1,2,1,2,2})+SUMPRODUCT(D43:M43,{2,1,2,1,2,1,2,3,2,2}))/70,2))</f>
        <v>3.41</v>
      </c>
      <c r="P43" s="4" t="s">
        <v>17</v>
      </c>
    </row>
    <row r="44" spans="1:16" ht="14.25" customHeight="1">
      <c r="A44" s="4">
        <v>38</v>
      </c>
      <c r="B44" s="4" t="s">
        <v>92</v>
      </c>
      <c r="C44" s="5" t="s">
        <v>93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3.8</v>
      </c>
      <c r="K44" s="6">
        <v>3.9</v>
      </c>
      <c r="L44" s="6">
        <v>0</v>
      </c>
      <c r="M44" s="6">
        <v>4</v>
      </c>
      <c r="N44" s="6">
        <f t="shared" si="0"/>
        <v>1.52</v>
      </c>
      <c r="O44" s="6">
        <f t="array" ref="O44">IF(B44="","",ROUND((SUMPRODUCT('Semester 1'!D44:I44,{4,3,3,3,3,0})+SUMPRODUCT('Semester 2'!D44:I44,{4,3,3,3,4,0})+SUMPRODUCT('Semester 3'!D44:N44,{3,1,2,1,2,2,1,2,1,2,2})+SUMPRODUCT(D44:M44,{2,1,2,1,2,1,2,3,2,2}))/70,2))</f>
        <v>2.4</v>
      </c>
      <c r="P44" s="4" t="s">
        <v>43</v>
      </c>
    </row>
    <row r="45" spans="1:16" ht="14.25" customHeight="1">
      <c r="A45" s="4">
        <v>39</v>
      </c>
      <c r="B45" s="4" t="s">
        <v>94</v>
      </c>
      <c r="C45" s="5" t="s">
        <v>95</v>
      </c>
      <c r="D45" s="6">
        <v>3.5</v>
      </c>
      <c r="E45" s="6">
        <v>3.7</v>
      </c>
      <c r="F45" s="6">
        <v>2.1</v>
      </c>
      <c r="G45" s="6">
        <v>3</v>
      </c>
      <c r="H45" s="6">
        <v>3.3</v>
      </c>
      <c r="I45" s="6">
        <v>3</v>
      </c>
      <c r="J45" s="6">
        <v>4</v>
      </c>
      <c r="K45" s="6">
        <v>3.7</v>
      </c>
      <c r="L45" s="6">
        <v>3.3</v>
      </c>
      <c r="M45" s="6">
        <v>4</v>
      </c>
      <c r="N45" s="6">
        <f t="shared" si="0"/>
        <v>3.4</v>
      </c>
      <c r="O45" s="6">
        <f t="array" ref="O45">IF(B45="","",ROUND((SUMPRODUCT('Semester 1'!D45:I45,{4,3,3,3,3,0})+SUMPRODUCT('Semester 2'!D45:I45,{4,3,3,3,4,0})+SUMPRODUCT('Semester 3'!D45:N45,{3,1,2,1,2,2,1,2,1,2,2})+SUMPRODUCT(D45:M45,{2,1,2,1,2,1,2,3,2,2}))/70,2))</f>
        <v>3.43</v>
      </c>
      <c r="P45" s="4" t="s">
        <v>17</v>
      </c>
    </row>
    <row r="46" spans="1:16" ht="14.25" customHeight="1">
      <c r="A46" s="4">
        <v>40</v>
      </c>
      <c r="B46" s="4" t="s">
        <v>96</v>
      </c>
      <c r="C46" s="5" t="s">
        <v>97</v>
      </c>
      <c r="D46" s="6">
        <v>3.2</v>
      </c>
      <c r="E46" s="6">
        <v>3.6</v>
      </c>
      <c r="F46" s="6">
        <v>0</v>
      </c>
      <c r="G46" s="6">
        <v>0</v>
      </c>
      <c r="H46" s="6">
        <v>2.7</v>
      </c>
      <c r="I46" s="6">
        <v>2</v>
      </c>
      <c r="J46" s="6">
        <v>3.8</v>
      </c>
      <c r="K46" s="6">
        <v>2.9</v>
      </c>
      <c r="L46" s="6">
        <v>2.7</v>
      </c>
      <c r="M46" s="6">
        <v>4</v>
      </c>
      <c r="N46" s="6">
        <f t="shared" si="0"/>
        <v>2.62</v>
      </c>
      <c r="O46" s="6">
        <f t="array" ref="O46">IF(B46="","",ROUND((SUMPRODUCT('Semester 1'!D46:I46,{4,3,3,3,3,0})+SUMPRODUCT('Semester 2'!D46:I46,{4,3,3,3,4,0})+SUMPRODUCT('Semester 3'!D46:N46,{3,1,2,1,2,2,1,2,1,2,2})+SUMPRODUCT(D46:M46,{2,1,2,1,2,1,2,3,2,2}))/70,2))</f>
        <v>3.1</v>
      </c>
      <c r="P46" s="4" t="s">
        <v>17</v>
      </c>
    </row>
    <row r="47" spans="1:16" ht="14.25" customHeight="1">
      <c r="A47" s="4">
        <v>41</v>
      </c>
      <c r="B47" s="4" t="s">
        <v>98</v>
      </c>
      <c r="C47" s="5" t="s">
        <v>99</v>
      </c>
      <c r="D47" s="6">
        <v>2.7</v>
      </c>
      <c r="E47" s="6">
        <v>3.1</v>
      </c>
      <c r="F47" s="6">
        <v>3.4</v>
      </c>
      <c r="G47" s="6">
        <v>3</v>
      </c>
      <c r="H47" s="6">
        <v>2.2999999999999998</v>
      </c>
      <c r="I47" s="6">
        <v>2.2999999999999998</v>
      </c>
      <c r="J47" s="6">
        <v>4</v>
      </c>
      <c r="K47" s="6">
        <v>4</v>
      </c>
      <c r="L47" s="6">
        <v>3.3</v>
      </c>
      <c r="M47" s="6">
        <v>4</v>
      </c>
      <c r="N47" s="6">
        <f t="shared" si="0"/>
        <v>3.32</v>
      </c>
      <c r="O47" s="6">
        <f t="array" ref="O47">IF(B47="","",ROUND((SUMPRODUCT('Semester 1'!D47:I47,{4,3,3,3,3,0})+SUMPRODUCT('Semester 2'!D47:I47,{4,3,3,3,4,0})+SUMPRODUCT('Semester 3'!D47:N47,{3,1,2,1,2,2,1,2,1,2,2})+SUMPRODUCT(D47:M47,{2,1,2,1,2,1,2,3,2,2}))/70,2))</f>
        <v>3.43</v>
      </c>
      <c r="P47" s="4" t="s">
        <v>17</v>
      </c>
    </row>
    <row r="48" spans="1:16" ht="14.25" customHeight="1">
      <c r="A48" s="4">
        <v>42</v>
      </c>
      <c r="B48" s="4" t="s">
        <v>100</v>
      </c>
      <c r="C48" s="5" t="s">
        <v>101</v>
      </c>
      <c r="D48" s="6">
        <v>0</v>
      </c>
      <c r="E48" s="6">
        <v>2.7</v>
      </c>
      <c r="F48" s="6">
        <v>3.1</v>
      </c>
      <c r="G48" s="6">
        <v>3.3</v>
      </c>
      <c r="H48" s="6">
        <v>0</v>
      </c>
      <c r="I48" s="6">
        <v>0</v>
      </c>
      <c r="J48" s="6">
        <v>3.7</v>
      </c>
      <c r="K48" s="6">
        <v>3.5</v>
      </c>
      <c r="L48" s="6">
        <v>0</v>
      </c>
      <c r="M48" s="6">
        <v>2.4</v>
      </c>
      <c r="N48" s="6">
        <f t="shared" si="0"/>
        <v>1.94</v>
      </c>
      <c r="O48" s="6">
        <f t="array" ref="O48">IF(B48="","",ROUND((SUMPRODUCT('Semester 1'!D48:I48,{4,3,3,3,3,0})+SUMPRODUCT('Semester 2'!D48:I48,{4,3,3,3,4,0})+SUMPRODUCT('Semester 3'!D48:N48,{3,1,2,1,2,2,1,2,1,2,2})+SUMPRODUCT(D48:M48,{2,1,2,1,2,1,2,3,2,2}))/70,2))</f>
        <v>2.96</v>
      </c>
      <c r="P48" s="4" t="s">
        <v>32</v>
      </c>
    </row>
    <row r="49" spans="1:16" ht="14.25" customHeight="1">
      <c r="A49" s="4">
        <v>43</v>
      </c>
      <c r="B49" s="4" t="s">
        <v>102</v>
      </c>
      <c r="C49" s="5" t="s">
        <v>103</v>
      </c>
      <c r="D49" s="6">
        <v>2.8</v>
      </c>
      <c r="E49" s="6">
        <v>3.2</v>
      </c>
      <c r="F49" s="6">
        <v>0</v>
      </c>
      <c r="G49" s="6">
        <v>0</v>
      </c>
      <c r="H49" s="6">
        <v>2</v>
      </c>
      <c r="I49" s="6">
        <v>2.2999999999999998</v>
      </c>
      <c r="J49" s="6">
        <v>3.7</v>
      </c>
      <c r="K49" s="6">
        <v>4</v>
      </c>
      <c r="L49" s="6">
        <v>2.5</v>
      </c>
      <c r="M49" s="6">
        <v>4</v>
      </c>
      <c r="N49" s="6">
        <f t="shared" si="0"/>
        <v>2.64</v>
      </c>
      <c r="O49" s="6">
        <f t="array" ref="O49">IF(B49="","",ROUND((SUMPRODUCT('Semester 1'!D49:I49,{4,3,3,3,3,0})+SUMPRODUCT('Semester 2'!D49:I49,{4,3,3,3,4,0})+SUMPRODUCT('Semester 3'!D49:N49,{3,1,2,1,2,2,1,2,1,2,2})+SUMPRODUCT(D49:M49,{2,1,2,1,2,1,2,3,2,2}))/70,2))</f>
        <v>2.94</v>
      </c>
      <c r="P49" s="4" t="s">
        <v>17</v>
      </c>
    </row>
    <row r="50" spans="1:16" ht="14.25" customHeight="1">
      <c r="A50" s="4">
        <v>44</v>
      </c>
      <c r="B50" s="4" t="s">
        <v>104</v>
      </c>
      <c r="C50" s="5" t="s">
        <v>105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f t="shared" si="0"/>
        <v>0</v>
      </c>
      <c r="O50" s="6">
        <f t="array" ref="O50">IF(B50="","",ROUND((SUMPRODUCT('Semester 1'!D50:I50,{4,3,3,3,3,0})+SUMPRODUCT('Semester 2'!D50:I50,{4,3,3,3,4,0})+SUMPRODUCT('Semester 3'!D50:N50,{3,1,2,1,2,2,1,2,1,2,2})+SUMPRODUCT(D50:M50,{2,1,2,1,2,1,2,3,2,2}))/70,2))</f>
        <v>0.72</v>
      </c>
      <c r="P50" s="4" t="s">
        <v>43</v>
      </c>
    </row>
    <row r="51" spans="1:16" ht="14.25" customHeight="1">
      <c r="A51" s="4">
        <v>45</v>
      </c>
      <c r="B51" s="4" t="s">
        <v>106</v>
      </c>
      <c r="C51" s="5" t="s">
        <v>107</v>
      </c>
      <c r="D51" s="6">
        <v>3.5</v>
      </c>
      <c r="E51" s="6">
        <v>3.7</v>
      </c>
      <c r="F51" s="6">
        <v>2</v>
      </c>
      <c r="G51" s="6">
        <v>2</v>
      </c>
      <c r="H51" s="6">
        <v>2</v>
      </c>
      <c r="I51" s="6">
        <v>2.7</v>
      </c>
      <c r="J51" s="6">
        <v>3.7</v>
      </c>
      <c r="K51" s="6">
        <v>4</v>
      </c>
      <c r="L51" s="6">
        <v>2.5</v>
      </c>
      <c r="M51" s="6">
        <v>4</v>
      </c>
      <c r="N51" s="6">
        <f t="shared" si="0"/>
        <v>3.1</v>
      </c>
      <c r="O51" s="6">
        <f t="array" ref="O51">IF(B51="","",ROUND((SUMPRODUCT('Semester 1'!D51:I51,{4,3,3,3,3,0})+SUMPRODUCT('Semester 2'!D51:I51,{4,3,3,3,4,0})+SUMPRODUCT('Semester 3'!D51:N51,{3,1,2,1,2,2,1,2,1,2,2})+SUMPRODUCT(D51:M51,{2,1,2,1,2,1,2,3,2,2}))/70,2))</f>
        <v>3.4</v>
      </c>
      <c r="P51" s="4" t="s">
        <v>17</v>
      </c>
    </row>
    <row r="52" spans="1:16" ht="14.25" customHeight="1">
      <c r="A52" s="4">
        <v>46</v>
      </c>
      <c r="B52" s="4" t="s">
        <v>108</v>
      </c>
      <c r="C52" s="5" t="s">
        <v>109</v>
      </c>
      <c r="D52" s="6">
        <v>2.7</v>
      </c>
      <c r="E52" s="6">
        <v>3.3</v>
      </c>
      <c r="F52" s="6">
        <v>0</v>
      </c>
      <c r="G52" s="6">
        <v>0</v>
      </c>
      <c r="H52" s="6">
        <v>2</v>
      </c>
      <c r="I52" s="6">
        <v>2</v>
      </c>
      <c r="J52" s="6">
        <v>3.7</v>
      </c>
      <c r="K52" s="6">
        <v>3.5</v>
      </c>
      <c r="L52" s="6">
        <v>2.2000000000000002</v>
      </c>
      <c r="M52" s="6">
        <v>3.7</v>
      </c>
      <c r="N52" s="6">
        <f t="shared" si="0"/>
        <v>2.4700000000000002</v>
      </c>
      <c r="O52" s="6">
        <f t="array" ref="O52">IF(B52="","",ROUND((SUMPRODUCT('Semester 1'!D52:I52,{4,3,3,3,3,0})+SUMPRODUCT('Semester 2'!D52:I52,{4,3,3,3,4,0})+SUMPRODUCT('Semester 3'!D52:N52,{3,1,2,1,2,2,1,2,1,2,2})+SUMPRODUCT(D52:M52,{2,1,2,1,2,1,2,3,2,2}))/70,2))</f>
        <v>2.93</v>
      </c>
      <c r="P52" s="4" t="s">
        <v>17</v>
      </c>
    </row>
    <row r="53" spans="1:16" ht="14.25" customHeight="1">
      <c r="A53" s="4">
        <v>47</v>
      </c>
      <c r="B53" s="4" t="s">
        <v>110</v>
      </c>
      <c r="C53" s="5" t="s">
        <v>111</v>
      </c>
      <c r="D53" s="6">
        <v>2.7</v>
      </c>
      <c r="E53" s="6">
        <v>3.3</v>
      </c>
      <c r="F53" s="6">
        <v>2.9</v>
      </c>
      <c r="G53" s="6">
        <v>3</v>
      </c>
      <c r="H53" s="6">
        <v>2.2999999999999998</v>
      </c>
      <c r="I53" s="6">
        <v>3.5</v>
      </c>
      <c r="J53" s="6">
        <v>3.7</v>
      </c>
      <c r="K53" s="6">
        <v>3.4</v>
      </c>
      <c r="L53" s="6">
        <v>2.7</v>
      </c>
      <c r="M53" s="6">
        <v>4</v>
      </c>
      <c r="N53" s="6">
        <f t="shared" si="0"/>
        <v>3.14</v>
      </c>
      <c r="O53" s="6">
        <f t="array" ref="O53">IF(B53="","",ROUND((SUMPRODUCT('Semester 1'!D53:I53,{4,3,3,3,3,0})+SUMPRODUCT('Semester 2'!D53:I53,{4,3,3,3,4,0})+SUMPRODUCT('Semester 3'!D53:N53,{3,1,2,1,2,2,1,2,1,2,2})+SUMPRODUCT(D53:M53,{2,1,2,1,2,1,2,3,2,2}))/70,2))</f>
        <v>3.36</v>
      </c>
      <c r="P53" s="4" t="s">
        <v>17</v>
      </c>
    </row>
    <row r="54" spans="1:16" ht="14.25" customHeight="1">
      <c r="A54" s="4">
        <v>48</v>
      </c>
      <c r="B54" s="4" t="s">
        <v>112</v>
      </c>
      <c r="C54" s="5" t="s">
        <v>113</v>
      </c>
      <c r="D54" s="6">
        <v>2.7</v>
      </c>
      <c r="E54" s="6">
        <v>3.2</v>
      </c>
      <c r="F54" s="6">
        <v>2.5</v>
      </c>
      <c r="G54" s="6">
        <v>3</v>
      </c>
      <c r="H54" s="6">
        <v>2.8</v>
      </c>
      <c r="I54" s="6">
        <v>2.9</v>
      </c>
      <c r="J54" s="6">
        <v>3.7</v>
      </c>
      <c r="K54" s="6">
        <v>2.8</v>
      </c>
      <c r="L54" s="6">
        <v>2.5</v>
      </c>
      <c r="M54" s="6">
        <v>4</v>
      </c>
      <c r="N54" s="6">
        <f t="shared" si="0"/>
        <v>2.99</v>
      </c>
      <c r="O54" s="6">
        <f t="array" ref="O54">IF(B54="","",ROUND((SUMPRODUCT('Semester 1'!D54:I54,{4,3,3,3,3,0})+SUMPRODUCT('Semester 2'!D54:I54,{4,3,3,3,4,0})+SUMPRODUCT('Semester 3'!D54:N54,{3,1,2,1,2,2,1,2,1,2,2})+SUMPRODUCT(D54:M54,{2,1,2,1,2,1,2,3,2,2}))/70,2))</f>
        <v>3.06</v>
      </c>
      <c r="P54" s="4" t="s">
        <v>17</v>
      </c>
    </row>
    <row r="55" spans="1:16" ht="14.25" customHeight="1">
      <c r="A55" s="4">
        <v>49</v>
      </c>
      <c r="B55" s="4" t="s">
        <v>114</v>
      </c>
      <c r="C55" s="5" t="s">
        <v>115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f t="shared" si="0"/>
        <v>0</v>
      </c>
      <c r="O55" s="6">
        <f t="array" ref="O55">IF(B55="","",ROUND((SUMPRODUCT('Semester 1'!D55:I55,{4,3,3,3,3,0})+SUMPRODUCT('Semester 2'!D55:I55,{4,3,3,3,4,0})+SUMPRODUCT('Semester 3'!D55:N55,{3,1,2,1,2,2,1,2,1,2,2})+SUMPRODUCT(D55:M55,{2,1,2,1,2,1,2,3,2,2}))/70,2))</f>
        <v>0</v>
      </c>
      <c r="P55" s="4" t="s">
        <v>43</v>
      </c>
    </row>
    <row r="56" spans="1:16" ht="14.25" customHeight="1">
      <c r="A56" s="4">
        <v>50</v>
      </c>
      <c r="B56" s="4" t="s">
        <v>116</v>
      </c>
      <c r="C56" s="5" t="s">
        <v>117</v>
      </c>
      <c r="D56" s="6">
        <v>2.2000000000000002</v>
      </c>
      <c r="E56" s="6">
        <v>2.7</v>
      </c>
      <c r="F56" s="6">
        <v>2.2999999999999998</v>
      </c>
      <c r="G56" s="6">
        <v>3</v>
      </c>
      <c r="H56" s="6">
        <v>2.4</v>
      </c>
      <c r="I56" s="6">
        <v>2</v>
      </c>
      <c r="J56" s="6">
        <v>3.8</v>
      </c>
      <c r="K56" s="6">
        <v>2.6</v>
      </c>
      <c r="L56" s="6">
        <v>2.2000000000000002</v>
      </c>
      <c r="M56" s="6">
        <v>4</v>
      </c>
      <c r="N56" s="6">
        <f t="shared" si="0"/>
        <v>2.74</v>
      </c>
      <c r="O56" s="6">
        <f t="array" ref="O56">IF(B56="","",ROUND((SUMPRODUCT('Semester 1'!D56:I56,{4,3,3,3,3,0})+SUMPRODUCT('Semester 2'!D56:I56,{4,3,3,3,4,0})+SUMPRODUCT('Semester 3'!D56:N56,{3,1,2,1,2,2,1,2,1,2,2})+SUMPRODUCT(D56:M56,{2,1,2,1,2,1,2,3,2,2}))/70,2))</f>
        <v>3.28</v>
      </c>
      <c r="P56" s="4" t="s">
        <v>17</v>
      </c>
    </row>
    <row r="57" spans="1:16" ht="14.25" customHeight="1">
      <c r="A57" s="4">
        <v>51</v>
      </c>
      <c r="B57" s="4" t="s">
        <v>118</v>
      </c>
      <c r="C57" s="5" t="s">
        <v>119</v>
      </c>
      <c r="D57" s="6">
        <v>2.2999999999999998</v>
      </c>
      <c r="E57" s="6">
        <v>2.8</v>
      </c>
      <c r="F57" s="6">
        <v>0</v>
      </c>
      <c r="G57" s="6">
        <v>0</v>
      </c>
      <c r="H57" s="6">
        <v>0</v>
      </c>
      <c r="I57" s="6">
        <v>0</v>
      </c>
      <c r="J57" s="6">
        <v>3.7</v>
      </c>
      <c r="K57" s="6">
        <v>2.2000000000000002</v>
      </c>
      <c r="L57" s="6">
        <v>2.7</v>
      </c>
      <c r="M57" s="6">
        <v>4</v>
      </c>
      <c r="N57" s="6">
        <f t="shared" si="0"/>
        <v>1.93</v>
      </c>
      <c r="O57" s="6">
        <f t="array" ref="O57">IF(B57="","",ROUND((SUMPRODUCT('Semester 1'!D57:I57,{4,3,3,3,3,0})+SUMPRODUCT('Semester 2'!D57:I57,{4,3,3,3,4,0})+SUMPRODUCT('Semester 3'!D57:N57,{3,1,2,1,2,2,1,2,1,2,2})+SUMPRODUCT(D57:M57,{2,1,2,1,2,1,2,3,2,2}))/70,2))</f>
        <v>2.76</v>
      </c>
      <c r="P57" s="4" t="s">
        <v>32</v>
      </c>
    </row>
    <row r="58" spans="1:16" ht="14.25" customHeight="1">
      <c r="A58" s="4">
        <v>52</v>
      </c>
      <c r="B58" s="4" t="s">
        <v>120</v>
      </c>
      <c r="C58" s="5" t="s">
        <v>121</v>
      </c>
      <c r="D58" s="6">
        <v>2.7</v>
      </c>
      <c r="E58" s="6">
        <v>3.1</v>
      </c>
      <c r="F58" s="6">
        <v>2.8</v>
      </c>
      <c r="G58" s="6">
        <v>3</v>
      </c>
      <c r="H58" s="6">
        <v>2.2999999999999998</v>
      </c>
      <c r="I58" s="6">
        <v>2.4</v>
      </c>
      <c r="J58" s="6">
        <v>3.6</v>
      </c>
      <c r="K58" s="6">
        <v>3.9</v>
      </c>
      <c r="L58" s="6">
        <v>2.2999999999999998</v>
      </c>
      <c r="M58" s="6">
        <v>4</v>
      </c>
      <c r="N58" s="6">
        <f t="shared" si="0"/>
        <v>3.09</v>
      </c>
      <c r="O58" s="6">
        <f t="array" ref="O58">IF(B58="","",ROUND((SUMPRODUCT('Semester 1'!D58:I58,{4,3,3,3,3,0})+SUMPRODUCT('Semester 2'!D58:I58,{4,3,3,3,4,0})+SUMPRODUCT('Semester 3'!D58:N58,{3,1,2,1,2,2,1,2,1,2,2})+SUMPRODUCT(D58:M58,{2,1,2,1,2,1,2,3,2,2}))/70,2))</f>
        <v>3.52</v>
      </c>
      <c r="P58" s="4" t="s">
        <v>17</v>
      </c>
    </row>
    <row r="59" spans="1:16" ht="14.25" customHeight="1">
      <c r="A59" s="4">
        <v>53</v>
      </c>
      <c r="B59" s="4" t="s">
        <v>122</v>
      </c>
      <c r="C59" s="5" t="s">
        <v>123</v>
      </c>
      <c r="D59" s="6">
        <v>2.7</v>
      </c>
      <c r="E59" s="6">
        <v>3</v>
      </c>
      <c r="F59" s="6">
        <v>2.5</v>
      </c>
      <c r="G59" s="6">
        <v>3.7</v>
      </c>
      <c r="H59" s="6">
        <v>2</v>
      </c>
      <c r="I59" s="6">
        <v>2</v>
      </c>
      <c r="J59" s="6">
        <v>3.7</v>
      </c>
      <c r="K59" s="6">
        <v>3.3</v>
      </c>
      <c r="L59" s="6">
        <v>2.6</v>
      </c>
      <c r="M59" s="6">
        <v>4</v>
      </c>
      <c r="N59" s="6">
        <f t="shared" si="0"/>
        <v>2.98</v>
      </c>
      <c r="O59" s="6">
        <f t="array" ref="O59">IF(B59="","",ROUND((SUMPRODUCT('Semester 1'!D59:I59,{4,3,3,3,3,0})+SUMPRODUCT('Semester 2'!D59:I59,{4,3,3,3,4,0})+SUMPRODUCT('Semester 3'!D59:N59,{3,1,2,1,2,2,1,2,1,2,2})+SUMPRODUCT(D59:M59,{2,1,2,1,2,1,2,3,2,2}))/70,2))</f>
        <v>3.2</v>
      </c>
      <c r="P59" s="4" t="s">
        <v>17</v>
      </c>
    </row>
    <row r="60" spans="1:16" ht="14.25" customHeight="1">
      <c r="A60" s="4">
        <v>54</v>
      </c>
      <c r="B60" s="4" t="s">
        <v>124</v>
      </c>
      <c r="C60" s="5" t="s">
        <v>125</v>
      </c>
      <c r="D60" s="6">
        <v>2.7</v>
      </c>
      <c r="E60" s="6">
        <v>3.1</v>
      </c>
      <c r="F60" s="6">
        <v>3.5</v>
      </c>
      <c r="G60" s="6">
        <v>4</v>
      </c>
      <c r="H60" s="6">
        <v>2.2999999999999998</v>
      </c>
      <c r="I60" s="6">
        <v>2</v>
      </c>
      <c r="J60" s="6">
        <v>3.7</v>
      </c>
      <c r="K60" s="6">
        <v>4</v>
      </c>
      <c r="L60" s="6">
        <v>2.4</v>
      </c>
      <c r="M60" s="6">
        <v>4</v>
      </c>
      <c r="N60" s="6">
        <f t="shared" si="0"/>
        <v>3.24</v>
      </c>
      <c r="O60" s="6">
        <f t="array" ref="O60">IF(B60="","",ROUND((SUMPRODUCT('Semester 1'!D60:I60,{4,3,3,3,3,0})+SUMPRODUCT('Semester 2'!D60:I60,{4,3,3,3,4,0})+SUMPRODUCT('Semester 3'!D60:N60,{3,1,2,1,2,2,1,2,1,2,2})+SUMPRODUCT(D60:M60,{2,1,2,1,2,1,2,3,2,2}))/70,2))</f>
        <v>3.56</v>
      </c>
      <c r="P60" s="4" t="s">
        <v>17</v>
      </c>
    </row>
    <row r="61" spans="1:16" ht="14.25" customHeight="1">
      <c r="A61" s="4">
        <v>55</v>
      </c>
      <c r="B61" s="4" t="s">
        <v>126</v>
      </c>
      <c r="C61" s="5" t="s">
        <v>127</v>
      </c>
      <c r="D61" s="6">
        <v>2.8</v>
      </c>
      <c r="E61" s="6">
        <v>3.1</v>
      </c>
      <c r="F61" s="6">
        <v>0</v>
      </c>
      <c r="G61" s="6">
        <v>0</v>
      </c>
      <c r="H61" s="6">
        <v>0</v>
      </c>
      <c r="I61" s="6">
        <v>0</v>
      </c>
      <c r="J61" s="6">
        <v>3.3</v>
      </c>
      <c r="K61" s="6">
        <v>3.2</v>
      </c>
      <c r="L61" s="6">
        <v>2.1</v>
      </c>
      <c r="M61" s="6">
        <v>4</v>
      </c>
      <c r="N61" s="6">
        <f t="shared" si="0"/>
        <v>2.06</v>
      </c>
      <c r="O61" s="6">
        <f t="array" ref="O61">IF(B61="","",ROUND((SUMPRODUCT('Semester 1'!D61:I61,{4,3,3,3,3,0})+SUMPRODUCT('Semester 2'!D61:I61,{4,3,3,3,4,0})+SUMPRODUCT('Semester 3'!D61:N61,{3,1,2,1,2,2,1,2,1,2,2})+SUMPRODUCT(D61:M61,{2,1,2,1,2,1,2,3,2,2}))/70,2))</f>
        <v>2.88</v>
      </c>
      <c r="P61" s="4" t="s">
        <v>17</v>
      </c>
    </row>
    <row r="62" spans="1:16" ht="14.25" customHeight="1">
      <c r="A62" s="4">
        <v>56</v>
      </c>
      <c r="B62" s="4" t="s">
        <v>128</v>
      </c>
      <c r="C62" s="5" t="s">
        <v>129</v>
      </c>
      <c r="D62" s="6">
        <v>2.2999999999999998</v>
      </c>
      <c r="E62" s="6">
        <v>2.7</v>
      </c>
      <c r="F62" s="6">
        <v>2.1</v>
      </c>
      <c r="G62" s="6">
        <v>2.7</v>
      </c>
      <c r="H62" s="6">
        <v>2.7</v>
      </c>
      <c r="I62" s="6">
        <v>2.5</v>
      </c>
      <c r="J62" s="6">
        <v>3.7</v>
      </c>
      <c r="K62" s="6">
        <v>3.7</v>
      </c>
      <c r="L62" s="6">
        <v>2.5</v>
      </c>
      <c r="M62" s="6">
        <v>4</v>
      </c>
      <c r="N62" s="6">
        <f t="shared" si="0"/>
        <v>2.98</v>
      </c>
      <c r="O62" s="6">
        <f t="array" ref="O62">IF(B62="","",ROUND((SUMPRODUCT('Semester 1'!D62:I62,{4,3,3,3,3,0})+SUMPRODUCT('Semester 2'!D62:I62,{4,3,3,3,4,0})+SUMPRODUCT('Semester 3'!D62:N62,{3,1,2,1,2,2,1,2,1,2,2})+SUMPRODUCT(D62:M62,{2,1,2,1,2,1,2,3,2,2}))/70,2))</f>
        <v>3.08</v>
      </c>
      <c r="P62" s="4" t="s">
        <v>17</v>
      </c>
    </row>
    <row r="63" spans="1:16" ht="14.25" customHeight="1"/>
    <row r="64" spans="1:16" ht="24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5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P1"/>
    <mergeCell ref="A2:P2"/>
    <mergeCell ref="A3:P3"/>
    <mergeCell ref="A4:P4"/>
    <mergeCell ref="A64:P64"/>
  </mergeCells>
  <conditionalFormatting sqref="P7:P62">
    <cfRule type="expression" dxfId="8" priority="1">
      <formula>P7="Dropped"</formula>
    </cfRule>
    <cfRule type="expression" dxfId="7" priority="2">
      <formula>P7="Probation"</formula>
    </cfRule>
    <cfRule type="expression" dxfId="6" priority="3">
      <formula>P7="Promoted"</formula>
    </cfRule>
  </conditionalFormatting>
  <pageMargins left="0.7" right="0.7" top="0.75" bottom="0.75" header="0" footer="0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000"/>
  <sheetViews>
    <sheetView workbookViewId="0"/>
  </sheetViews>
  <sheetFormatPr defaultColWidth="14.44140625" defaultRowHeight="15" customHeight="1"/>
  <cols>
    <col min="1" max="1" width="7.6640625" customWidth="1"/>
    <col min="2" max="2" width="21.109375" customWidth="1"/>
    <col min="3" max="3" width="28.88671875" customWidth="1"/>
    <col min="4" max="5" width="11.88671875" customWidth="1"/>
    <col min="6" max="11" width="11.6640625" customWidth="1"/>
    <col min="12" max="12" width="11.88671875" customWidth="1"/>
    <col min="13" max="13" width="11.6640625" customWidth="1"/>
    <col min="14" max="14" width="11.88671875" customWidth="1"/>
    <col min="15" max="15" width="6.6640625" customWidth="1"/>
    <col min="16" max="16" width="8.109375" customWidth="1"/>
    <col min="17" max="17" width="6.6640625" customWidth="1"/>
    <col min="18" max="18" width="9.6640625" customWidth="1"/>
    <col min="19" max="26" width="8.6640625" customWidth="1"/>
  </cols>
  <sheetData>
    <row r="1" spans="1:18" ht="20.2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/>
    </row>
    <row r="2" spans="1:18" ht="14.25" customHeight="1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1"/>
    </row>
    <row r="3" spans="1:18" ht="14.25" customHeight="1">
      <c r="A3" s="1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</row>
    <row r="4" spans="1:18" ht="14.25" customHeight="1">
      <c r="A4" s="12" t="s">
        <v>162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1"/>
    </row>
    <row r="5" spans="1:18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5.5" customHeight="1">
      <c r="A6" s="2" t="s">
        <v>4</v>
      </c>
      <c r="B6" s="2" t="s">
        <v>5</v>
      </c>
      <c r="C6" s="2" t="s">
        <v>6</v>
      </c>
      <c r="D6" s="2" t="s">
        <v>163</v>
      </c>
      <c r="E6" s="2" t="s">
        <v>164</v>
      </c>
      <c r="F6" s="2" t="s">
        <v>165</v>
      </c>
      <c r="G6" s="2" t="s">
        <v>166</v>
      </c>
      <c r="H6" s="2" t="s">
        <v>167</v>
      </c>
      <c r="I6" s="2" t="s">
        <v>168</v>
      </c>
      <c r="J6" s="2" t="s">
        <v>169</v>
      </c>
      <c r="K6" s="2" t="s">
        <v>170</v>
      </c>
      <c r="L6" s="2" t="s">
        <v>171</v>
      </c>
      <c r="M6" s="2" t="s">
        <v>172</v>
      </c>
      <c r="N6" s="2" t="s">
        <v>173</v>
      </c>
      <c r="O6" s="2" t="s">
        <v>13</v>
      </c>
      <c r="P6" s="2" t="s">
        <v>174</v>
      </c>
      <c r="Q6" s="2" t="s">
        <v>137</v>
      </c>
      <c r="R6" s="2" t="s">
        <v>14</v>
      </c>
    </row>
    <row r="7" spans="1:18" ht="14.25" customHeight="1">
      <c r="A7" s="4">
        <v>1</v>
      </c>
      <c r="B7" s="4" t="s">
        <v>15</v>
      </c>
      <c r="C7" s="5" t="s">
        <v>16</v>
      </c>
      <c r="D7" s="6">
        <v>3</v>
      </c>
      <c r="E7" s="6">
        <v>3.3</v>
      </c>
      <c r="F7" s="6">
        <v>3.4</v>
      </c>
      <c r="G7" s="6">
        <v>3.3</v>
      </c>
      <c r="H7" s="6">
        <v>2.8</v>
      </c>
      <c r="I7" s="6">
        <v>3.3</v>
      </c>
      <c r="J7" s="6">
        <v>3.4</v>
      </c>
      <c r="K7" s="6">
        <v>3.5</v>
      </c>
      <c r="L7" s="6">
        <v>3.7</v>
      </c>
      <c r="M7" s="6">
        <v>3.5</v>
      </c>
      <c r="N7" s="6">
        <v>4</v>
      </c>
      <c r="O7" s="6">
        <f t="shared" ref="O7:O52" si="0">IF(B7="","",ROUND(SUMPRODUCT(D7:N7,{2,1,2,1,2,1,2,1,3,3,0})/18,2))</f>
        <v>3.34</v>
      </c>
      <c r="P7" s="6">
        <f t="array" ref="P7">IF(B7="","",IFERROR(INDEX('Semester 4'!$O$7:$O$62,MATCH(B7,'Semester 4'!$B$7:$B$62,0)),""))</f>
        <v>3.61</v>
      </c>
      <c r="Q7" s="6">
        <f t="array" ref="Q7">IF(B7="","",IFERROR(ROUND((SUMPRODUCT(INDEX('Semester 1'!$D$7:$I$62,MATCH(B7,'Semester 1'!$B$7:$B$62,0),0),{4,3,3,3,3,0})+SUMPRODUCT(INDEX('Semester 2'!$D$7:$I$64,MATCH(B7,'Semester 2'!$B$7:$B$64,0),0),{4,3,3,3,4,0})+SUMPRODUCT(INDEX('Semester 3'!$D$7:$N$64,MATCH(B7,'Semester 3'!$B$7:$B$64,0),0),{3,1,2,1,2,2,1,2,1,2,2})+SUMPRODUCT(INDEX('Semester 4'!$D$7:$M$64,MATCH(B7,'Semester 4'!$B$7:$B$64,0),0),{2,1,2,1,2,1,2,3,2,2})+SUMPRODUCT(D7:N7,{2,1,2,1,2,1,2,1,3,3,0}))/88,2),""))</f>
        <v>3.55</v>
      </c>
      <c r="R7" s="4" t="s">
        <v>17</v>
      </c>
    </row>
    <row r="8" spans="1:18" ht="14.25" customHeight="1">
      <c r="A8" s="4">
        <v>2</v>
      </c>
      <c r="B8" s="4" t="s">
        <v>18</v>
      </c>
      <c r="C8" s="5" t="s">
        <v>19</v>
      </c>
      <c r="D8" s="6">
        <v>4</v>
      </c>
      <c r="E8" s="6">
        <v>4</v>
      </c>
      <c r="F8" s="6">
        <v>3.7</v>
      </c>
      <c r="G8" s="6">
        <v>3.5</v>
      </c>
      <c r="H8" s="6">
        <v>3.7</v>
      </c>
      <c r="I8" s="6">
        <v>4</v>
      </c>
      <c r="J8" s="6">
        <v>4</v>
      </c>
      <c r="K8" s="6">
        <v>3.9</v>
      </c>
      <c r="L8" s="6">
        <v>4</v>
      </c>
      <c r="M8" s="6">
        <v>4</v>
      </c>
      <c r="N8" s="6">
        <v>4</v>
      </c>
      <c r="O8" s="6">
        <f t="shared" si="0"/>
        <v>3.9</v>
      </c>
      <c r="P8" s="6">
        <f t="array" ref="P8">IF(B8="","",IFERROR(INDEX('Semester 4'!$O$7:$O$62,MATCH(B8,'Semester 4'!$B$7:$B$62,0)),""))</f>
        <v>3.65</v>
      </c>
      <c r="Q8" s="6">
        <f t="array" ref="Q8">IF(B8="","",IFERROR(ROUND((SUMPRODUCT(INDEX('Semester 1'!$D$7:$I$62,MATCH(B8,'Semester 1'!$B$7:$B$62,0),0),{4,3,3,3,3,0})+SUMPRODUCT(INDEX('Semester 2'!$D$7:$I$64,MATCH(B8,'Semester 2'!$B$7:$B$64,0),0),{4,3,3,3,4,0})+SUMPRODUCT(INDEX('Semester 3'!$D$7:$N$64,MATCH(B8,'Semester 3'!$B$7:$B$64,0),0),{3,1,2,1,2,2,1,2,1,2,2})+SUMPRODUCT(INDEX('Semester 4'!$D$7:$M$64,MATCH(B8,'Semester 4'!$B$7:$B$64,0),0),{2,1,2,1,2,1,2,3,2,2})+SUMPRODUCT(D8:N8,{2,1,2,1,2,1,2,1,3,3,0}))/88,2),""))</f>
        <v>3.7</v>
      </c>
      <c r="R8" s="4" t="s">
        <v>17</v>
      </c>
    </row>
    <row r="9" spans="1:18" ht="14.25" customHeight="1">
      <c r="A9" s="4">
        <v>3</v>
      </c>
      <c r="B9" s="4" t="s">
        <v>20</v>
      </c>
      <c r="C9" s="5" t="s">
        <v>21</v>
      </c>
      <c r="D9" s="6">
        <v>4</v>
      </c>
      <c r="E9" s="6">
        <v>4</v>
      </c>
      <c r="F9" s="6">
        <v>3.7</v>
      </c>
      <c r="G9" s="6">
        <v>3.7</v>
      </c>
      <c r="H9" s="6">
        <v>3.1</v>
      </c>
      <c r="I9" s="6">
        <v>3.3</v>
      </c>
      <c r="J9" s="6">
        <v>4</v>
      </c>
      <c r="K9" s="6">
        <v>3.3</v>
      </c>
      <c r="L9" s="6">
        <v>4</v>
      </c>
      <c r="M9" s="6">
        <v>3.6</v>
      </c>
      <c r="N9" s="6">
        <v>4</v>
      </c>
      <c r="O9" s="6">
        <f t="shared" si="0"/>
        <v>3.71</v>
      </c>
      <c r="P9" s="6">
        <f t="array" ref="P9">IF(B9="","",IFERROR(INDEX('Semester 4'!$O$7:$O$62,MATCH(B9,'Semester 4'!$B$7:$B$62,0)),""))</f>
        <v>3.73</v>
      </c>
      <c r="Q9" s="6">
        <f t="array" ref="Q9">IF(B9="","",IFERROR(ROUND((SUMPRODUCT(INDEX('Semester 1'!$D$7:$I$62,MATCH(B9,'Semester 1'!$B$7:$B$62,0),0),{4,3,3,3,3,0})+SUMPRODUCT(INDEX('Semester 2'!$D$7:$I$64,MATCH(B9,'Semester 2'!$B$7:$B$64,0),0),{4,3,3,3,4,0})+SUMPRODUCT(INDEX('Semester 3'!$D$7:$N$64,MATCH(B9,'Semester 3'!$B$7:$B$64,0),0),{3,1,2,1,2,2,1,2,1,2,2})+SUMPRODUCT(INDEX('Semester 4'!$D$7:$M$64,MATCH(B9,'Semester 4'!$B$7:$B$64,0),0),{2,1,2,1,2,1,2,3,2,2})+SUMPRODUCT(D9:N9,{2,1,2,1,2,1,2,1,3,3,0}))/88,2),""))</f>
        <v>3.73</v>
      </c>
      <c r="R9" s="4" t="s">
        <v>17</v>
      </c>
    </row>
    <row r="10" spans="1:18" ht="14.25" customHeight="1">
      <c r="A10" s="4">
        <v>4</v>
      </c>
      <c r="B10" s="4" t="s">
        <v>22</v>
      </c>
      <c r="C10" s="5" t="s">
        <v>23</v>
      </c>
      <c r="D10" s="6">
        <v>3.3</v>
      </c>
      <c r="E10" s="6">
        <v>4</v>
      </c>
      <c r="F10" s="6">
        <v>3.1</v>
      </c>
      <c r="G10" s="6">
        <v>3</v>
      </c>
      <c r="H10" s="6">
        <v>3.5</v>
      </c>
      <c r="I10" s="6">
        <v>2</v>
      </c>
      <c r="J10" s="6">
        <v>4</v>
      </c>
      <c r="K10" s="6">
        <v>3.7</v>
      </c>
      <c r="L10" s="6">
        <v>4</v>
      </c>
      <c r="M10" s="6">
        <v>3.7</v>
      </c>
      <c r="N10" s="6">
        <v>4</v>
      </c>
      <c r="O10" s="6">
        <f t="shared" si="0"/>
        <v>3.53</v>
      </c>
      <c r="P10" s="6">
        <f t="array" ref="P10">IF(B10="","",IFERROR(INDEX('Semester 4'!$O$7:$O$62,MATCH(B10,'Semester 4'!$B$7:$B$62,0)),""))</f>
        <v>3.38</v>
      </c>
      <c r="Q10" s="6">
        <f t="array" ref="Q10">IF(B10="","",IFERROR(ROUND((SUMPRODUCT(INDEX('Semester 1'!$D$7:$I$62,MATCH(B10,'Semester 1'!$B$7:$B$62,0),0),{4,3,3,3,3,0})+SUMPRODUCT(INDEX('Semester 2'!$D$7:$I$64,MATCH(B10,'Semester 2'!$B$7:$B$64,0),0),{4,3,3,3,4,0})+SUMPRODUCT(INDEX('Semester 3'!$D$7:$N$64,MATCH(B10,'Semester 3'!$B$7:$B$64,0),0),{3,1,2,1,2,2,1,2,1,2,2})+SUMPRODUCT(INDEX('Semester 4'!$D$7:$M$64,MATCH(B10,'Semester 4'!$B$7:$B$64,0),0),{2,1,2,1,2,1,2,3,2,2})+SUMPRODUCT(D10:N10,{2,1,2,1,2,1,2,1,3,3,0}))/88,2),""))</f>
        <v>3.41</v>
      </c>
      <c r="R10" s="4" t="s">
        <v>17</v>
      </c>
    </row>
    <row r="11" spans="1:18" ht="14.25" customHeight="1">
      <c r="A11" s="4">
        <v>5</v>
      </c>
      <c r="B11" s="4" t="s">
        <v>26</v>
      </c>
      <c r="C11" s="5" t="s">
        <v>27</v>
      </c>
      <c r="D11" s="6">
        <v>2.8</v>
      </c>
      <c r="E11" s="6">
        <v>3.3</v>
      </c>
      <c r="F11" s="6">
        <v>2.9</v>
      </c>
      <c r="G11" s="6">
        <v>2.2999999999999998</v>
      </c>
      <c r="H11" s="6">
        <v>2.7</v>
      </c>
      <c r="I11" s="6">
        <v>2</v>
      </c>
      <c r="J11" s="6">
        <v>3.5</v>
      </c>
      <c r="K11" s="6">
        <v>3.9</v>
      </c>
      <c r="L11" s="6">
        <v>3.9</v>
      </c>
      <c r="M11" s="6">
        <v>2.8</v>
      </c>
      <c r="N11" s="6">
        <v>3.8</v>
      </c>
      <c r="O11" s="6">
        <f t="shared" si="0"/>
        <v>3.08</v>
      </c>
      <c r="P11" s="6">
        <f t="array" ref="P11">IF(B11="","",IFERROR(INDEX('Semester 4'!$O$7:$O$62,MATCH(B11,'Semester 4'!$B$7:$B$62,0)),""))</f>
        <v>3.09</v>
      </c>
      <c r="Q11" s="6">
        <f t="array" ref="Q11">IF(B11="","",IFERROR(ROUND((SUMPRODUCT(INDEX('Semester 1'!$D$7:$I$62,MATCH(B11,'Semester 1'!$B$7:$B$62,0),0),{4,3,3,3,3,0})+SUMPRODUCT(INDEX('Semester 2'!$D$7:$I$64,MATCH(B11,'Semester 2'!$B$7:$B$64,0),0),{4,3,3,3,4,0})+SUMPRODUCT(INDEX('Semester 3'!$D$7:$N$64,MATCH(B11,'Semester 3'!$B$7:$B$64,0),0),{3,1,2,1,2,2,1,2,1,2,2})+SUMPRODUCT(INDEX('Semester 4'!$D$7:$M$64,MATCH(B11,'Semester 4'!$B$7:$B$64,0),0),{2,1,2,1,2,1,2,3,2,2})+SUMPRODUCT(D11:N11,{2,1,2,1,2,1,2,1,3,3,0}))/88,2),""))</f>
        <v>3.09</v>
      </c>
      <c r="R11" s="4" t="s">
        <v>17</v>
      </c>
    </row>
    <row r="12" spans="1:18" ht="14.25" customHeight="1">
      <c r="A12" s="4">
        <v>6</v>
      </c>
      <c r="B12" s="4" t="s">
        <v>28</v>
      </c>
      <c r="C12" s="5" t="s">
        <v>29</v>
      </c>
      <c r="D12" s="6">
        <v>3.5</v>
      </c>
      <c r="E12" s="6">
        <v>3.3</v>
      </c>
      <c r="F12" s="6">
        <v>3.3</v>
      </c>
      <c r="G12" s="6">
        <v>3.3</v>
      </c>
      <c r="H12" s="6">
        <v>4</v>
      </c>
      <c r="I12" s="6">
        <v>4</v>
      </c>
      <c r="J12" s="6">
        <v>3.7</v>
      </c>
      <c r="K12" s="6">
        <v>3.5</v>
      </c>
      <c r="L12" s="6">
        <v>4</v>
      </c>
      <c r="M12" s="6">
        <v>4</v>
      </c>
      <c r="N12" s="6">
        <v>4</v>
      </c>
      <c r="O12" s="6">
        <f t="shared" si="0"/>
        <v>3.73</v>
      </c>
      <c r="P12" s="6">
        <f t="array" ref="P12">IF(B12="","",IFERROR(INDEX('Semester 4'!$O$7:$O$62,MATCH(B12,'Semester 4'!$B$7:$B$62,0)),""))</f>
        <v>3.68</v>
      </c>
      <c r="Q12" s="6">
        <f t="array" ref="Q12">IF(B12="","",IFERROR(ROUND((SUMPRODUCT(INDEX('Semester 1'!$D$7:$I$62,MATCH(B12,'Semester 1'!$B$7:$B$62,0),0),{4,3,3,3,3,0})+SUMPRODUCT(INDEX('Semester 2'!$D$7:$I$64,MATCH(B12,'Semester 2'!$B$7:$B$64,0),0),{4,3,3,3,4,0})+SUMPRODUCT(INDEX('Semester 3'!$D$7:$N$64,MATCH(B12,'Semester 3'!$B$7:$B$64,0),0),{3,1,2,1,2,2,1,2,1,2,2})+SUMPRODUCT(INDEX('Semester 4'!$D$7:$M$64,MATCH(B12,'Semester 4'!$B$7:$B$64,0),0),{2,1,2,1,2,1,2,3,2,2})+SUMPRODUCT(D12:N12,{2,1,2,1,2,1,2,1,3,3,0}))/88,2),""))</f>
        <v>3.69</v>
      </c>
      <c r="R12" s="4" t="s">
        <v>17</v>
      </c>
    </row>
    <row r="13" spans="1:18" ht="14.25" customHeight="1">
      <c r="A13" s="4">
        <v>7</v>
      </c>
      <c r="B13" s="4" t="s">
        <v>33</v>
      </c>
      <c r="C13" s="5" t="s">
        <v>34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f t="shared" si="0"/>
        <v>0</v>
      </c>
      <c r="P13" s="6">
        <f t="array" ref="P13">IF(B13="","",IFERROR(INDEX('Semester 4'!$O$7:$O$62,MATCH(B13,'Semester 4'!$B$7:$B$62,0)),""))</f>
        <v>3.24</v>
      </c>
      <c r="Q13" s="6">
        <f t="array" ref="Q13">IF(B13="","",IFERROR(ROUND((SUMPRODUCT(INDEX('Semester 1'!$D$7:$I$62,MATCH(B13,'Semester 1'!$B$7:$B$62,0),0),{4,3,3,3,3,0})+SUMPRODUCT(INDEX('Semester 2'!$D$7:$I$64,MATCH(B13,'Semester 2'!$B$7:$B$64,0),0),{4,3,3,3,4,0})+SUMPRODUCT(INDEX('Semester 3'!$D$7:$N$64,MATCH(B13,'Semester 3'!$B$7:$B$64,0),0),{3,1,2,1,2,2,1,2,1,2,2})+SUMPRODUCT(INDEX('Semester 4'!$D$7:$M$64,MATCH(B13,'Semester 4'!$B$7:$B$64,0),0),{2,1,2,1,2,1,2,3,2,2})+SUMPRODUCT(D13:N13,{2,1,2,1,2,1,2,1,3,3,0}))/88,2),""))</f>
        <v>2.57</v>
      </c>
      <c r="R13" s="4" t="s">
        <v>43</v>
      </c>
    </row>
    <row r="14" spans="1:18" ht="14.25" customHeight="1">
      <c r="A14" s="4">
        <v>8</v>
      </c>
      <c r="B14" s="4" t="s">
        <v>35</v>
      </c>
      <c r="C14" s="5" t="s">
        <v>175</v>
      </c>
      <c r="D14" s="6">
        <v>3.3</v>
      </c>
      <c r="E14" s="6">
        <v>3.3</v>
      </c>
      <c r="F14" s="6">
        <v>3.3</v>
      </c>
      <c r="G14" s="6">
        <v>3.1</v>
      </c>
      <c r="H14" s="6">
        <v>2.9</v>
      </c>
      <c r="I14" s="6">
        <v>2.7</v>
      </c>
      <c r="J14" s="6">
        <v>3.7</v>
      </c>
      <c r="K14" s="6">
        <v>3.4</v>
      </c>
      <c r="L14" s="6">
        <v>3.7</v>
      </c>
      <c r="M14" s="6">
        <v>3.1</v>
      </c>
      <c r="N14" s="6">
        <v>4</v>
      </c>
      <c r="O14" s="6">
        <f t="shared" si="0"/>
        <v>3.29</v>
      </c>
      <c r="P14" s="6">
        <f t="array" ref="P14">IF(B14="","",IFERROR(INDEX('Semester 4'!$O$7:$O$62,MATCH(B14,'Semester 4'!$B$7:$B$62,0)),""))</f>
        <v>3.67</v>
      </c>
      <c r="Q14" s="6">
        <f t="array" ref="Q14">IF(B14="","",IFERROR(ROUND((SUMPRODUCT(INDEX('Semester 1'!$D$7:$I$62,MATCH(B14,'Semester 1'!$B$7:$B$62,0),0),{4,3,3,3,3,0})+SUMPRODUCT(INDEX('Semester 2'!$D$7:$I$64,MATCH(B14,'Semester 2'!$B$7:$B$64,0),0),{4,3,3,3,4,0})+SUMPRODUCT(INDEX('Semester 3'!$D$7:$N$64,MATCH(B14,'Semester 3'!$B$7:$B$64,0),0),{3,1,2,1,2,2,1,2,1,2,2})+SUMPRODUCT(INDEX('Semester 4'!$D$7:$M$64,MATCH(B14,'Semester 4'!$B$7:$B$64,0),0),{2,1,2,1,2,1,2,3,2,2})+SUMPRODUCT(D14:N14,{2,1,2,1,2,1,2,1,3,3,0}))/88,2),""))</f>
        <v>3.59</v>
      </c>
      <c r="R14" s="4" t="s">
        <v>17</v>
      </c>
    </row>
    <row r="15" spans="1:18" ht="14.25" customHeight="1">
      <c r="A15" s="4">
        <v>9</v>
      </c>
      <c r="B15" s="4" t="s">
        <v>37</v>
      </c>
      <c r="C15" s="5" t="s">
        <v>38</v>
      </c>
      <c r="D15" s="6">
        <v>2.5</v>
      </c>
      <c r="E15" s="6">
        <v>3</v>
      </c>
      <c r="F15" s="6">
        <v>3.3</v>
      </c>
      <c r="G15" s="6">
        <v>3.1</v>
      </c>
      <c r="H15" s="6">
        <v>2.2999999999999998</v>
      </c>
      <c r="I15" s="6">
        <v>4</v>
      </c>
      <c r="J15" s="6">
        <v>3.7</v>
      </c>
      <c r="K15" s="6">
        <v>3.6</v>
      </c>
      <c r="L15" s="6">
        <v>4</v>
      </c>
      <c r="M15" s="6">
        <v>2.1</v>
      </c>
      <c r="N15" s="6">
        <v>4</v>
      </c>
      <c r="O15" s="6">
        <f t="shared" si="0"/>
        <v>3.09</v>
      </c>
      <c r="P15" s="6">
        <f t="array" ref="P15">IF(B15="","",IFERROR(INDEX('Semester 4'!$O$7:$O$62,MATCH(B15,'Semester 4'!$B$7:$B$62,0)),""))</f>
        <v>3.26</v>
      </c>
      <c r="Q15" s="6">
        <f t="array" ref="Q15">IF(B15="","",IFERROR(ROUND((SUMPRODUCT(INDEX('Semester 1'!$D$7:$I$62,MATCH(B15,'Semester 1'!$B$7:$B$62,0),0),{4,3,3,3,3,0})+SUMPRODUCT(INDEX('Semester 2'!$D$7:$I$64,MATCH(B15,'Semester 2'!$B$7:$B$64,0),0),{4,3,3,3,4,0})+SUMPRODUCT(INDEX('Semester 3'!$D$7:$N$64,MATCH(B15,'Semester 3'!$B$7:$B$64,0),0),{3,1,2,1,2,2,1,2,1,2,2})+SUMPRODUCT(INDEX('Semester 4'!$D$7:$M$64,MATCH(B15,'Semester 4'!$B$7:$B$64,0),0),{2,1,2,1,2,1,2,3,2,2})+SUMPRODUCT(D15:N15,{2,1,2,1,2,1,2,1,3,3,0}))/88,2),""))</f>
        <v>3.23</v>
      </c>
      <c r="R15" s="4" t="s">
        <v>17</v>
      </c>
    </row>
    <row r="16" spans="1:18" ht="14.25" customHeight="1">
      <c r="A16" s="4">
        <v>10</v>
      </c>
      <c r="B16" s="4" t="s">
        <v>39</v>
      </c>
      <c r="C16" s="5" t="s">
        <v>40</v>
      </c>
      <c r="D16" s="6">
        <v>4</v>
      </c>
      <c r="E16" s="6">
        <v>4</v>
      </c>
      <c r="F16" s="6">
        <v>2.9</v>
      </c>
      <c r="G16" s="6">
        <v>2.8</v>
      </c>
      <c r="H16" s="6">
        <v>3.9</v>
      </c>
      <c r="I16" s="6">
        <v>3.9</v>
      </c>
      <c r="J16" s="6">
        <v>4</v>
      </c>
      <c r="K16" s="6">
        <v>4</v>
      </c>
      <c r="L16" s="6">
        <v>4</v>
      </c>
      <c r="M16" s="6">
        <v>4</v>
      </c>
      <c r="N16" s="6">
        <v>4</v>
      </c>
      <c r="O16" s="6">
        <f t="shared" si="0"/>
        <v>3.79</v>
      </c>
      <c r="P16" s="6">
        <f t="array" ref="P16">IF(B16="","",IFERROR(INDEX('Semester 4'!$O$7:$O$62,MATCH(B16,'Semester 4'!$B$7:$B$62,0)),""))</f>
        <v>3.73</v>
      </c>
      <c r="Q16" s="6">
        <f t="array" ref="Q16">IF(B16="","",IFERROR(ROUND((SUMPRODUCT(INDEX('Semester 1'!$D$7:$I$62,MATCH(B16,'Semester 1'!$B$7:$B$62,0),0),{4,3,3,3,3,0})+SUMPRODUCT(INDEX('Semester 2'!$D$7:$I$64,MATCH(B16,'Semester 2'!$B$7:$B$64,0),0),{4,3,3,3,4,0})+SUMPRODUCT(INDEX('Semester 3'!$D$7:$N$64,MATCH(B16,'Semester 3'!$B$7:$B$64,0),0),{3,1,2,1,2,2,1,2,1,2,2})+SUMPRODUCT(INDEX('Semester 4'!$D$7:$M$64,MATCH(B16,'Semester 4'!$B$7:$B$64,0),0),{2,1,2,1,2,1,2,3,2,2})+SUMPRODUCT(D16:N16,{2,1,2,1,2,1,2,1,3,3,0}))/88,2),""))</f>
        <v>3.74</v>
      </c>
      <c r="R16" s="4" t="s">
        <v>17</v>
      </c>
    </row>
    <row r="17" spans="1:18" ht="14.25" customHeight="1">
      <c r="A17" s="4">
        <v>11</v>
      </c>
      <c r="B17" s="4" t="s">
        <v>48</v>
      </c>
      <c r="C17" s="5" t="s">
        <v>49</v>
      </c>
      <c r="D17" s="6">
        <v>3</v>
      </c>
      <c r="E17" s="6">
        <v>3.7</v>
      </c>
      <c r="F17" s="6">
        <v>3.1</v>
      </c>
      <c r="G17" s="6">
        <v>3</v>
      </c>
      <c r="H17" s="6">
        <v>3.5</v>
      </c>
      <c r="I17" s="6">
        <v>4</v>
      </c>
      <c r="J17" s="6">
        <v>4</v>
      </c>
      <c r="K17" s="6">
        <v>3.1</v>
      </c>
      <c r="L17" s="6">
        <v>3.1</v>
      </c>
      <c r="M17" s="6">
        <v>4</v>
      </c>
      <c r="N17" s="6">
        <v>4</v>
      </c>
      <c r="O17" s="6">
        <f t="shared" si="0"/>
        <v>3.46</v>
      </c>
      <c r="P17" s="6">
        <f t="array" ref="P17">IF(B17="","",IFERROR(INDEX('Semester 4'!$O$7:$O$62,MATCH(B17,'Semester 4'!$B$7:$B$62,0)),""))</f>
        <v>3.44</v>
      </c>
      <c r="Q17" s="6">
        <f t="array" ref="Q17">IF(B17="","",IFERROR(ROUND((SUMPRODUCT(INDEX('Semester 1'!$D$7:$I$62,MATCH(B17,'Semester 1'!$B$7:$B$62,0),0),{4,3,3,3,3,0})+SUMPRODUCT(INDEX('Semester 2'!$D$7:$I$64,MATCH(B17,'Semester 2'!$B$7:$B$64,0),0),{4,3,3,3,4,0})+SUMPRODUCT(INDEX('Semester 3'!$D$7:$N$64,MATCH(B17,'Semester 3'!$B$7:$B$64,0),0),{3,1,2,1,2,2,1,2,1,2,2})+SUMPRODUCT(INDEX('Semester 4'!$D$7:$M$64,MATCH(B17,'Semester 4'!$B$7:$B$64,0),0),{2,1,2,1,2,1,2,3,2,2})+SUMPRODUCT(D17:N17,{2,1,2,1,2,1,2,1,3,3,0}))/88,2),""))</f>
        <v>3.44</v>
      </c>
      <c r="R17" s="4" t="s">
        <v>17</v>
      </c>
    </row>
    <row r="18" spans="1:18" ht="14.25" customHeight="1">
      <c r="A18" s="4">
        <v>12</v>
      </c>
      <c r="B18" s="4" t="s">
        <v>50</v>
      </c>
      <c r="C18" s="5" t="s">
        <v>51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f t="shared" si="0"/>
        <v>0</v>
      </c>
      <c r="P18" s="6">
        <f t="array" ref="P18">IF(B18="","",IFERROR(INDEX('Semester 4'!$O$7:$O$62,MATCH(B18,'Semester 4'!$B$7:$B$62,0)),""))</f>
        <v>3.53</v>
      </c>
      <c r="Q18" s="6">
        <f t="array" ref="Q18">IF(B18="","",IFERROR(ROUND((SUMPRODUCT(INDEX('Semester 1'!$D$7:$I$62,MATCH(B18,'Semester 1'!$B$7:$B$62,0),0),{4,3,3,3,3,0})+SUMPRODUCT(INDEX('Semester 2'!$D$7:$I$64,MATCH(B18,'Semester 2'!$B$7:$B$64,0),0),{4,3,3,3,4,0})+SUMPRODUCT(INDEX('Semester 3'!$D$7:$N$64,MATCH(B18,'Semester 3'!$B$7:$B$64,0),0),{3,1,2,1,2,2,1,2,1,2,2})+SUMPRODUCT(INDEX('Semester 4'!$D$7:$M$64,MATCH(B18,'Semester 4'!$B$7:$B$64,0),0),{2,1,2,1,2,1,2,3,2,2})+SUMPRODUCT(D18:N18,{2,1,2,1,2,1,2,1,3,3,0}))/88,2),""))</f>
        <v>2.81</v>
      </c>
      <c r="R18" s="4" t="s">
        <v>43</v>
      </c>
    </row>
    <row r="19" spans="1:18" ht="14.25" customHeight="1">
      <c r="A19" s="4">
        <v>13</v>
      </c>
      <c r="B19" s="4" t="s">
        <v>52</v>
      </c>
      <c r="C19" s="5" t="s">
        <v>53</v>
      </c>
      <c r="D19" s="6">
        <v>2.5</v>
      </c>
      <c r="E19" s="6">
        <v>3.7</v>
      </c>
      <c r="F19" s="6">
        <v>3.1</v>
      </c>
      <c r="G19" s="6">
        <v>2.5</v>
      </c>
      <c r="H19" s="6">
        <v>3</v>
      </c>
      <c r="I19" s="6">
        <v>2.2999999999999998</v>
      </c>
      <c r="J19" s="6">
        <v>2.7</v>
      </c>
      <c r="K19" s="6">
        <v>4</v>
      </c>
      <c r="L19" s="6">
        <v>4</v>
      </c>
      <c r="M19" s="6">
        <v>2.1</v>
      </c>
      <c r="N19" s="6">
        <v>4</v>
      </c>
      <c r="O19" s="6">
        <f t="shared" si="0"/>
        <v>2.97</v>
      </c>
      <c r="P19" s="6">
        <f t="array" ref="P19">IF(B19="","",IFERROR(INDEX('Semester 4'!$O$7:$O$62,MATCH(B19,'Semester 4'!$B$7:$B$62,0)),""))</f>
        <v>3.21</v>
      </c>
      <c r="Q19" s="6">
        <f t="array" ref="Q19">IF(B19="","",IFERROR(ROUND((SUMPRODUCT(INDEX('Semester 1'!$D$7:$I$62,MATCH(B19,'Semester 1'!$B$7:$B$62,0),0),{4,3,3,3,3,0})+SUMPRODUCT(INDEX('Semester 2'!$D$7:$I$64,MATCH(B19,'Semester 2'!$B$7:$B$64,0),0),{4,3,3,3,4,0})+SUMPRODUCT(INDEX('Semester 3'!$D$7:$N$64,MATCH(B19,'Semester 3'!$B$7:$B$64,0),0),{3,1,2,1,2,2,1,2,1,2,2})+SUMPRODUCT(INDEX('Semester 4'!$D$7:$M$64,MATCH(B19,'Semester 4'!$B$7:$B$64,0),0),{2,1,2,1,2,1,2,3,2,2})+SUMPRODUCT(D19:N19,{2,1,2,1,2,1,2,1,3,3,0}))/88,2),""))</f>
        <v>3.16</v>
      </c>
      <c r="R19" s="4" t="s">
        <v>17</v>
      </c>
    </row>
    <row r="20" spans="1:18" ht="14.25" customHeight="1">
      <c r="A20" s="4">
        <v>14</v>
      </c>
      <c r="B20" s="4" t="s">
        <v>54</v>
      </c>
      <c r="C20" s="5" t="s">
        <v>176</v>
      </c>
      <c r="D20" s="6">
        <v>2.7</v>
      </c>
      <c r="E20" s="6">
        <v>3.3</v>
      </c>
      <c r="F20" s="6">
        <v>3.7</v>
      </c>
      <c r="G20" s="6">
        <v>3.8</v>
      </c>
      <c r="H20" s="6">
        <v>2.5</v>
      </c>
      <c r="I20" s="6">
        <v>3.7</v>
      </c>
      <c r="J20" s="6">
        <v>3</v>
      </c>
      <c r="K20" s="6">
        <v>3.7</v>
      </c>
      <c r="L20" s="6">
        <v>3.9</v>
      </c>
      <c r="M20" s="6">
        <v>3.5</v>
      </c>
      <c r="N20" s="6">
        <v>4</v>
      </c>
      <c r="O20" s="6">
        <f t="shared" si="0"/>
        <v>3.36</v>
      </c>
      <c r="P20" s="6">
        <f t="array" ref="P20">IF(B20="","",IFERROR(INDEX('Semester 4'!$O$7:$O$62,MATCH(B20,'Semester 4'!$B$7:$B$62,0)),""))</f>
        <v>3.42</v>
      </c>
      <c r="Q20" s="6">
        <f t="array" ref="Q20">IF(B20="","",IFERROR(ROUND((SUMPRODUCT(INDEX('Semester 1'!$D$7:$I$62,MATCH(B20,'Semester 1'!$B$7:$B$62,0),0),{4,3,3,3,3,0})+SUMPRODUCT(INDEX('Semester 2'!$D$7:$I$64,MATCH(B20,'Semester 2'!$B$7:$B$64,0),0),{4,3,3,3,4,0})+SUMPRODUCT(INDEX('Semester 3'!$D$7:$N$64,MATCH(B20,'Semester 3'!$B$7:$B$64,0),0),{3,1,2,1,2,2,1,2,1,2,2})+SUMPRODUCT(INDEX('Semester 4'!$D$7:$M$64,MATCH(B20,'Semester 4'!$B$7:$B$64,0),0),{2,1,2,1,2,1,2,3,2,2})+SUMPRODUCT(D20:N20,{2,1,2,1,2,1,2,1,3,3,0}))/88,2),""))</f>
        <v>3.41</v>
      </c>
      <c r="R20" s="4" t="s">
        <v>17</v>
      </c>
    </row>
    <row r="21" spans="1:18" ht="14.25" customHeight="1">
      <c r="A21" s="4">
        <v>15</v>
      </c>
      <c r="B21" s="4" t="s">
        <v>56</v>
      </c>
      <c r="C21" s="5" t="s">
        <v>57</v>
      </c>
      <c r="D21" s="6">
        <v>2</v>
      </c>
      <c r="E21" s="6">
        <v>3</v>
      </c>
      <c r="F21" s="6">
        <v>0</v>
      </c>
      <c r="G21" s="6">
        <v>0</v>
      </c>
      <c r="H21" s="6">
        <v>2</v>
      </c>
      <c r="I21" s="6">
        <v>2</v>
      </c>
      <c r="J21" s="6">
        <v>2.1</v>
      </c>
      <c r="K21" s="6">
        <v>3.5</v>
      </c>
      <c r="L21" s="6">
        <v>2.9</v>
      </c>
      <c r="M21" s="6">
        <v>0</v>
      </c>
      <c r="N21" s="6">
        <v>4</v>
      </c>
      <c r="O21" s="6">
        <f t="shared" si="0"/>
        <v>1.63</v>
      </c>
      <c r="P21" s="6">
        <f t="array" ref="P21">IF(B21="","",IFERROR(INDEX('Semester 4'!$O$7:$O$62,MATCH(B21,'Semester 4'!$B$7:$B$62,0)),""))</f>
        <v>2.73</v>
      </c>
      <c r="Q21" s="6">
        <f t="array" ref="Q21">IF(B21="","",IFERROR(ROUND((SUMPRODUCT(INDEX('Semester 1'!$D$7:$I$62,MATCH(B21,'Semester 1'!$B$7:$B$62,0),0),{4,3,3,3,3,0})+SUMPRODUCT(INDEX('Semester 2'!$D$7:$I$64,MATCH(B21,'Semester 2'!$B$7:$B$64,0),0),{4,3,3,3,4,0})+SUMPRODUCT(INDEX('Semester 3'!$D$7:$N$64,MATCH(B21,'Semester 3'!$B$7:$B$64,0),0),{3,1,2,1,2,2,1,2,1,2,2})+SUMPRODUCT(INDEX('Semester 4'!$D$7:$M$64,MATCH(B21,'Semester 4'!$B$7:$B$64,0),0),{2,1,2,1,2,1,2,3,2,2})+SUMPRODUCT(D21:N21,{2,1,2,1,2,1,2,1,3,3,0}))/88,2),""))</f>
        <v>2.5099999999999998</v>
      </c>
      <c r="R21" s="4" t="s">
        <v>43</v>
      </c>
    </row>
    <row r="22" spans="1:18" ht="14.25" customHeight="1">
      <c r="A22" s="4">
        <v>16</v>
      </c>
      <c r="B22" s="4" t="s">
        <v>58</v>
      </c>
      <c r="C22" s="5" t="s">
        <v>59</v>
      </c>
      <c r="D22" s="6">
        <v>3</v>
      </c>
      <c r="E22" s="6">
        <v>3.3</v>
      </c>
      <c r="F22" s="6">
        <v>2.2000000000000002</v>
      </c>
      <c r="G22" s="6">
        <v>2.1</v>
      </c>
      <c r="H22" s="6">
        <v>2.9</v>
      </c>
      <c r="I22" s="6">
        <v>2.7</v>
      </c>
      <c r="J22" s="6">
        <v>3.6</v>
      </c>
      <c r="K22" s="6">
        <v>3.4</v>
      </c>
      <c r="L22" s="6">
        <v>3.8</v>
      </c>
      <c r="M22" s="6">
        <v>2.5</v>
      </c>
      <c r="N22" s="6">
        <v>4</v>
      </c>
      <c r="O22" s="6">
        <f t="shared" si="0"/>
        <v>2.99</v>
      </c>
      <c r="P22" s="6">
        <f t="array" ref="P22">IF(B22="","",IFERROR(INDEX('Semester 4'!$O$7:$O$62,MATCH(B22,'Semester 4'!$B$7:$B$62,0)),""))</f>
        <v>3.38</v>
      </c>
      <c r="Q22" s="6">
        <f t="array" ref="Q22">IF(B22="","",IFERROR(ROUND((SUMPRODUCT(INDEX('Semester 1'!$D$7:$I$62,MATCH(B22,'Semester 1'!$B$7:$B$62,0),0),{4,3,3,3,3,0})+SUMPRODUCT(INDEX('Semester 2'!$D$7:$I$64,MATCH(B22,'Semester 2'!$B$7:$B$64,0),0),{4,3,3,3,4,0})+SUMPRODUCT(INDEX('Semester 3'!$D$7:$N$64,MATCH(B22,'Semester 3'!$B$7:$B$64,0),0),{3,1,2,1,2,2,1,2,1,2,2})+SUMPRODUCT(INDEX('Semester 4'!$D$7:$M$64,MATCH(B22,'Semester 4'!$B$7:$B$64,0),0),{2,1,2,1,2,1,2,3,2,2})+SUMPRODUCT(D22:N22,{2,1,2,1,2,1,2,1,3,3,0}))/88,2),""))</f>
        <v>3.3</v>
      </c>
      <c r="R22" s="4" t="s">
        <v>17</v>
      </c>
    </row>
    <row r="23" spans="1:18" ht="14.25" customHeight="1">
      <c r="A23" s="4">
        <v>17</v>
      </c>
      <c r="B23" s="4" t="s">
        <v>60</v>
      </c>
      <c r="C23" s="5" t="s">
        <v>61</v>
      </c>
      <c r="D23" s="6">
        <v>2.1</v>
      </c>
      <c r="E23" s="6">
        <v>3.3</v>
      </c>
      <c r="F23" s="6">
        <v>2.1</v>
      </c>
      <c r="G23" s="6">
        <v>2.1</v>
      </c>
      <c r="H23" s="6">
        <v>2.8</v>
      </c>
      <c r="I23" s="6">
        <v>2</v>
      </c>
      <c r="J23" s="6">
        <v>2.5</v>
      </c>
      <c r="K23" s="6">
        <v>2.5</v>
      </c>
      <c r="L23" s="6">
        <v>2.7</v>
      </c>
      <c r="M23" s="6">
        <v>2.2999999999999998</v>
      </c>
      <c r="N23" s="6">
        <v>4</v>
      </c>
      <c r="O23" s="6">
        <f t="shared" si="0"/>
        <v>2.44</v>
      </c>
      <c r="P23" s="6">
        <f t="array" ref="P23">IF(B23="","",IFERROR(INDEX('Semester 4'!$O$7:$O$62,MATCH(B23,'Semester 4'!$B$7:$B$62,0)),""))</f>
        <v>3.14</v>
      </c>
      <c r="Q23" s="6">
        <f t="array" ref="Q23">IF(B23="","",IFERROR(ROUND((SUMPRODUCT(INDEX('Semester 1'!$D$7:$I$62,MATCH(B23,'Semester 1'!$B$7:$B$62,0),0),{4,3,3,3,3,0})+SUMPRODUCT(INDEX('Semester 2'!$D$7:$I$64,MATCH(B23,'Semester 2'!$B$7:$B$64,0),0),{4,3,3,3,4,0})+SUMPRODUCT(INDEX('Semester 3'!$D$7:$N$64,MATCH(B23,'Semester 3'!$B$7:$B$64,0),0),{3,1,2,1,2,2,1,2,1,2,2})+SUMPRODUCT(INDEX('Semester 4'!$D$7:$M$64,MATCH(B23,'Semester 4'!$B$7:$B$64,0),0),{2,1,2,1,2,1,2,3,2,2})+SUMPRODUCT(D23:N23,{2,1,2,1,2,1,2,1,3,3,0}))/88,2),""))</f>
        <v>2.99</v>
      </c>
      <c r="R23" s="4" t="s">
        <v>17</v>
      </c>
    </row>
    <row r="24" spans="1:18" ht="14.25" customHeight="1">
      <c r="A24" s="4">
        <v>18</v>
      </c>
      <c r="B24" s="4" t="s">
        <v>62</v>
      </c>
      <c r="C24" s="5" t="s">
        <v>63</v>
      </c>
      <c r="D24" s="6">
        <v>3.1</v>
      </c>
      <c r="E24" s="6">
        <v>3</v>
      </c>
      <c r="F24" s="6">
        <v>3.1</v>
      </c>
      <c r="G24" s="6">
        <v>3.1</v>
      </c>
      <c r="H24" s="6">
        <v>2.5</v>
      </c>
      <c r="I24" s="6">
        <v>3.3</v>
      </c>
      <c r="J24" s="6">
        <v>2.4</v>
      </c>
      <c r="K24" s="6">
        <v>3.2</v>
      </c>
      <c r="L24" s="6">
        <v>4</v>
      </c>
      <c r="M24" s="6">
        <v>2.1</v>
      </c>
      <c r="N24" s="6">
        <v>3.8</v>
      </c>
      <c r="O24" s="6">
        <f t="shared" si="0"/>
        <v>2.95</v>
      </c>
      <c r="P24" s="6">
        <f t="array" ref="P24">IF(B24="","",IFERROR(INDEX('Semester 4'!$O$7:$O$62,MATCH(B24,'Semester 4'!$B$7:$B$62,0)),""))</f>
        <v>3.46</v>
      </c>
      <c r="Q24" s="6">
        <f t="array" ref="Q24">IF(B24="","",IFERROR(ROUND((SUMPRODUCT(INDEX('Semester 1'!$D$7:$I$62,MATCH(B24,'Semester 1'!$B$7:$B$62,0),0),{4,3,3,3,3,0})+SUMPRODUCT(INDEX('Semester 2'!$D$7:$I$64,MATCH(B24,'Semester 2'!$B$7:$B$64,0),0),{4,3,3,3,4,0})+SUMPRODUCT(INDEX('Semester 3'!$D$7:$N$64,MATCH(B24,'Semester 3'!$B$7:$B$64,0),0),{3,1,2,1,2,2,1,2,1,2,2})+SUMPRODUCT(INDEX('Semester 4'!$D$7:$M$64,MATCH(B24,'Semester 4'!$B$7:$B$64,0),0),{2,1,2,1,2,1,2,3,2,2})+SUMPRODUCT(D24:N24,{2,1,2,1,2,1,2,1,3,3,0}))/88,2),""))</f>
        <v>3.36</v>
      </c>
      <c r="R24" s="4" t="s">
        <v>17</v>
      </c>
    </row>
    <row r="25" spans="1:18" ht="14.25" customHeight="1">
      <c r="A25" s="4">
        <v>19</v>
      </c>
      <c r="B25" s="4" t="s">
        <v>64</v>
      </c>
      <c r="C25" s="5" t="s">
        <v>65</v>
      </c>
      <c r="D25" s="6">
        <v>2.7</v>
      </c>
      <c r="E25" s="6">
        <v>3</v>
      </c>
      <c r="F25" s="6">
        <v>3.1</v>
      </c>
      <c r="G25" s="6">
        <v>2.5</v>
      </c>
      <c r="H25" s="6">
        <v>2.7</v>
      </c>
      <c r="I25" s="6">
        <v>2</v>
      </c>
      <c r="J25" s="6">
        <v>3.1</v>
      </c>
      <c r="K25" s="6">
        <v>2.7</v>
      </c>
      <c r="L25" s="6">
        <v>4</v>
      </c>
      <c r="M25" s="6">
        <v>3.2</v>
      </c>
      <c r="N25" s="6">
        <v>4</v>
      </c>
      <c r="O25" s="6">
        <f t="shared" si="0"/>
        <v>3.06</v>
      </c>
      <c r="P25" s="6">
        <f t="array" ref="P25">IF(B25="","",IFERROR(INDEX('Semester 4'!$O$7:$O$62,MATCH(B25,'Semester 4'!$B$7:$B$62,0)),""))</f>
        <v>3.29</v>
      </c>
      <c r="Q25" s="6">
        <f t="array" ref="Q25">IF(B25="","",IFERROR(ROUND((SUMPRODUCT(INDEX('Semester 1'!$D$7:$I$62,MATCH(B25,'Semester 1'!$B$7:$B$62,0),0),{4,3,3,3,3,0})+SUMPRODUCT(INDEX('Semester 2'!$D$7:$I$64,MATCH(B25,'Semester 2'!$B$7:$B$64,0),0),{4,3,3,3,4,0})+SUMPRODUCT(INDEX('Semester 3'!$D$7:$N$64,MATCH(B25,'Semester 3'!$B$7:$B$64,0),0),{3,1,2,1,2,2,1,2,1,2,2})+SUMPRODUCT(INDEX('Semester 4'!$D$7:$M$64,MATCH(B25,'Semester 4'!$B$7:$B$64,0),0),{2,1,2,1,2,1,2,3,2,2})+SUMPRODUCT(D25:N25,{2,1,2,1,2,1,2,1,3,3,0}))/88,2),""))</f>
        <v>3.24</v>
      </c>
      <c r="R25" s="4" t="s">
        <v>17</v>
      </c>
    </row>
    <row r="26" spans="1:18" ht="14.25" customHeight="1">
      <c r="A26" s="4">
        <v>20</v>
      </c>
      <c r="B26" s="4" t="s">
        <v>66</v>
      </c>
      <c r="C26" s="5" t="s">
        <v>67</v>
      </c>
      <c r="D26" s="6">
        <v>2.8</v>
      </c>
      <c r="E26" s="6">
        <v>3</v>
      </c>
      <c r="F26" s="6">
        <v>2.4</v>
      </c>
      <c r="G26" s="6">
        <v>2.2999999999999998</v>
      </c>
      <c r="H26" s="6">
        <v>2.5</v>
      </c>
      <c r="I26" s="6">
        <v>2</v>
      </c>
      <c r="J26" s="6">
        <v>0</v>
      </c>
      <c r="K26" s="6">
        <v>2.5</v>
      </c>
      <c r="L26" s="6">
        <v>3.3</v>
      </c>
      <c r="M26" s="6">
        <v>0</v>
      </c>
      <c r="N26" s="6">
        <v>4</v>
      </c>
      <c r="O26" s="6">
        <f t="shared" si="0"/>
        <v>1.95</v>
      </c>
      <c r="P26" s="6">
        <f t="array" ref="P26">IF(B26="","",IFERROR(INDEX('Semester 4'!$O$7:$O$62,MATCH(B26,'Semester 4'!$B$7:$B$62,0)),""))</f>
        <v>3.1</v>
      </c>
      <c r="Q26" s="6">
        <f t="array" ref="Q26">IF(B26="","",IFERROR(ROUND((SUMPRODUCT(INDEX('Semester 1'!$D$7:$I$62,MATCH(B26,'Semester 1'!$B$7:$B$62,0),0),{4,3,3,3,3,0})+SUMPRODUCT(INDEX('Semester 2'!$D$7:$I$64,MATCH(B26,'Semester 2'!$B$7:$B$64,0),0),{4,3,3,3,4,0})+SUMPRODUCT(INDEX('Semester 3'!$D$7:$N$64,MATCH(B26,'Semester 3'!$B$7:$B$64,0),0),{3,1,2,1,2,2,1,2,1,2,2})+SUMPRODUCT(INDEX('Semester 4'!$D$7:$M$64,MATCH(B26,'Semester 4'!$B$7:$B$64,0),0),{2,1,2,1,2,1,2,3,2,2})+SUMPRODUCT(D26:N26,{2,1,2,1,2,1,2,1,3,3,0}))/88,2),""))</f>
        <v>2.86</v>
      </c>
      <c r="R26" s="4" t="s">
        <v>32</v>
      </c>
    </row>
    <row r="27" spans="1:18" ht="14.25" customHeight="1">
      <c r="A27" s="4">
        <v>21</v>
      </c>
      <c r="B27" s="4" t="s">
        <v>68</v>
      </c>
      <c r="C27" s="5" t="s">
        <v>69</v>
      </c>
      <c r="D27" s="6">
        <v>2.2000000000000002</v>
      </c>
      <c r="E27" s="6">
        <v>3</v>
      </c>
      <c r="F27" s="6">
        <v>3.2</v>
      </c>
      <c r="G27" s="6">
        <v>2.4</v>
      </c>
      <c r="H27" s="6">
        <v>2.4</v>
      </c>
      <c r="I27" s="6">
        <v>2.7</v>
      </c>
      <c r="J27" s="6">
        <v>3.5</v>
      </c>
      <c r="K27" s="6">
        <v>3.9</v>
      </c>
      <c r="L27" s="6">
        <v>4</v>
      </c>
      <c r="M27" s="6">
        <v>2.1</v>
      </c>
      <c r="N27" s="6">
        <v>4</v>
      </c>
      <c r="O27" s="6">
        <f t="shared" si="0"/>
        <v>2.94</v>
      </c>
      <c r="P27" s="6">
        <f t="array" ref="P27">IF(B27="","",IFERROR(INDEX('Semester 4'!$O$7:$O$62,MATCH(B27,'Semester 4'!$B$7:$B$62,0)),""))</f>
        <v>2.99</v>
      </c>
      <c r="Q27" s="6">
        <f t="array" ref="Q27">IF(B27="","",IFERROR(ROUND((SUMPRODUCT(INDEX('Semester 1'!$D$7:$I$62,MATCH(B27,'Semester 1'!$B$7:$B$62,0),0),{4,3,3,3,3,0})+SUMPRODUCT(INDEX('Semester 2'!$D$7:$I$64,MATCH(B27,'Semester 2'!$B$7:$B$64,0),0),{4,3,3,3,4,0})+SUMPRODUCT(INDEX('Semester 3'!$D$7:$N$64,MATCH(B27,'Semester 3'!$B$7:$B$64,0),0),{3,1,2,1,2,2,1,2,1,2,2})+SUMPRODUCT(INDEX('Semester 4'!$D$7:$M$64,MATCH(B27,'Semester 4'!$B$7:$B$64,0),0),{2,1,2,1,2,1,2,3,2,2})+SUMPRODUCT(D27:N27,{2,1,2,1,2,1,2,1,3,3,0}))/88,2),""))</f>
        <v>2.98</v>
      </c>
      <c r="R27" s="4" t="s">
        <v>17</v>
      </c>
    </row>
    <row r="28" spans="1:18" ht="14.25" customHeight="1">
      <c r="A28" s="4">
        <v>22</v>
      </c>
      <c r="B28" s="4" t="s">
        <v>70</v>
      </c>
      <c r="C28" s="5" t="s">
        <v>177</v>
      </c>
      <c r="D28" s="6">
        <v>2.2999999999999998</v>
      </c>
      <c r="E28" s="6">
        <v>3</v>
      </c>
      <c r="F28" s="6">
        <v>2.9</v>
      </c>
      <c r="G28" s="6">
        <v>2.4</v>
      </c>
      <c r="H28" s="6">
        <v>2.1</v>
      </c>
      <c r="I28" s="6">
        <v>2</v>
      </c>
      <c r="J28" s="6">
        <v>0</v>
      </c>
      <c r="K28" s="6">
        <v>3.1</v>
      </c>
      <c r="L28" s="6">
        <v>4</v>
      </c>
      <c r="M28" s="6">
        <v>2</v>
      </c>
      <c r="N28" s="6">
        <v>4</v>
      </c>
      <c r="O28" s="6">
        <f t="shared" si="0"/>
        <v>2.39</v>
      </c>
      <c r="P28" s="6">
        <f t="array" ref="P28">IF(B28="","",IFERROR(INDEX('Semester 4'!$O$7:$O$62,MATCH(B28,'Semester 4'!$B$7:$B$62,0)),""))</f>
        <v>2.97</v>
      </c>
      <c r="Q28" s="6">
        <f t="array" ref="Q28">IF(B28="","",IFERROR(ROUND((SUMPRODUCT(INDEX('Semester 1'!$D$7:$I$62,MATCH(B28,'Semester 1'!$B$7:$B$62,0),0),{4,3,3,3,3,0})+SUMPRODUCT(INDEX('Semester 2'!$D$7:$I$64,MATCH(B28,'Semester 2'!$B$7:$B$64,0),0),{4,3,3,3,4,0})+SUMPRODUCT(INDEX('Semester 3'!$D$7:$N$64,MATCH(B28,'Semester 3'!$B$7:$B$64,0),0),{3,1,2,1,2,2,1,2,1,2,2})+SUMPRODUCT(INDEX('Semester 4'!$D$7:$M$64,MATCH(B28,'Semester 4'!$B$7:$B$64,0),0),{2,1,2,1,2,1,2,3,2,2})+SUMPRODUCT(D28:N28,{2,1,2,1,2,1,2,1,3,3,0}))/88,2),""))</f>
        <v>2.85</v>
      </c>
      <c r="R28" s="4" t="s">
        <v>17</v>
      </c>
    </row>
    <row r="29" spans="1:18" ht="14.25" customHeight="1">
      <c r="A29" s="4">
        <v>23</v>
      </c>
      <c r="B29" s="4" t="s">
        <v>72</v>
      </c>
      <c r="C29" s="5" t="s">
        <v>73</v>
      </c>
      <c r="D29" s="6">
        <v>3.1</v>
      </c>
      <c r="E29" s="6">
        <v>3</v>
      </c>
      <c r="F29" s="6">
        <v>3.1</v>
      </c>
      <c r="G29" s="6">
        <v>3.1</v>
      </c>
      <c r="H29" s="6">
        <v>2.7</v>
      </c>
      <c r="I29" s="6">
        <v>2.7</v>
      </c>
      <c r="J29" s="6">
        <v>2.9</v>
      </c>
      <c r="K29" s="6">
        <v>2.6</v>
      </c>
      <c r="L29" s="6">
        <v>4</v>
      </c>
      <c r="M29" s="6">
        <v>2.7</v>
      </c>
      <c r="N29" s="6">
        <v>3.8</v>
      </c>
      <c r="O29" s="6">
        <f t="shared" si="0"/>
        <v>3.06</v>
      </c>
      <c r="P29" s="6">
        <f t="array" ref="P29">IF(B29="","",IFERROR(INDEX('Semester 4'!$O$7:$O$62,MATCH(B29,'Semester 4'!$B$7:$B$62,0)),""))</f>
        <v>3.51</v>
      </c>
      <c r="Q29" s="6">
        <f t="array" ref="Q29">IF(B29="","",IFERROR(ROUND((SUMPRODUCT(INDEX('Semester 1'!$D$7:$I$62,MATCH(B29,'Semester 1'!$B$7:$B$62,0),0),{4,3,3,3,3,0})+SUMPRODUCT(INDEX('Semester 2'!$D$7:$I$64,MATCH(B29,'Semester 2'!$B$7:$B$64,0),0),{4,3,3,3,4,0})+SUMPRODUCT(INDEX('Semester 3'!$D$7:$N$64,MATCH(B29,'Semester 3'!$B$7:$B$64,0),0),{3,1,2,1,2,2,1,2,1,2,2})+SUMPRODUCT(INDEX('Semester 4'!$D$7:$M$64,MATCH(B29,'Semester 4'!$B$7:$B$64,0),0),{2,1,2,1,2,1,2,3,2,2})+SUMPRODUCT(D29:N29,{2,1,2,1,2,1,2,1,3,3,0}))/88,2),""))</f>
        <v>3.42</v>
      </c>
      <c r="R29" s="4" t="s">
        <v>17</v>
      </c>
    </row>
    <row r="30" spans="1:18" ht="14.25" customHeight="1">
      <c r="A30" s="4">
        <v>24</v>
      </c>
      <c r="B30" s="4" t="s">
        <v>76</v>
      </c>
      <c r="C30" s="5" t="s">
        <v>77</v>
      </c>
      <c r="D30" s="6">
        <v>2</v>
      </c>
      <c r="E30" s="6">
        <v>2.2999999999999998</v>
      </c>
      <c r="F30" s="6">
        <v>2.2999999999999998</v>
      </c>
      <c r="G30" s="6">
        <v>2.1</v>
      </c>
      <c r="H30" s="6">
        <v>2.2999999999999998</v>
      </c>
      <c r="I30" s="6">
        <v>2</v>
      </c>
      <c r="J30" s="6">
        <v>2.9</v>
      </c>
      <c r="K30" s="6">
        <v>4</v>
      </c>
      <c r="L30" s="6">
        <v>3.6</v>
      </c>
      <c r="M30" s="6">
        <v>2.9</v>
      </c>
      <c r="N30" s="6">
        <v>4</v>
      </c>
      <c r="O30" s="6">
        <f t="shared" si="0"/>
        <v>2.72</v>
      </c>
      <c r="P30" s="6">
        <f t="array" ref="P30">IF(B30="","",IFERROR(INDEX('Semester 4'!$O$7:$O$62,MATCH(B30,'Semester 4'!$B$7:$B$62,0)),""))</f>
        <v>2.5299999999999998</v>
      </c>
      <c r="Q30" s="6">
        <f t="array" ref="Q30">IF(B30="","",IFERROR(ROUND((SUMPRODUCT(INDEX('Semester 1'!$D$7:$I$62,MATCH(B30,'Semester 1'!$B$7:$B$62,0),0),{4,3,3,3,3,0})+SUMPRODUCT(INDEX('Semester 2'!$D$7:$I$64,MATCH(B30,'Semester 2'!$B$7:$B$64,0),0),{4,3,3,3,4,0})+SUMPRODUCT(INDEX('Semester 3'!$D$7:$N$64,MATCH(B30,'Semester 3'!$B$7:$B$64,0),0),{3,1,2,1,2,2,1,2,1,2,2})+SUMPRODUCT(INDEX('Semester 4'!$D$7:$M$64,MATCH(B30,'Semester 4'!$B$7:$B$64,0),0),{2,1,2,1,2,1,2,3,2,2})+SUMPRODUCT(D30:N30,{2,1,2,1,2,1,2,1,3,3,0}))/88,2),""))</f>
        <v>2.57</v>
      </c>
      <c r="R30" s="4" t="s">
        <v>17</v>
      </c>
    </row>
    <row r="31" spans="1:18" ht="14.25" customHeight="1">
      <c r="A31" s="4">
        <v>25</v>
      </c>
      <c r="B31" s="4" t="s">
        <v>78</v>
      </c>
      <c r="C31" s="5" t="s">
        <v>79</v>
      </c>
      <c r="D31" s="6">
        <v>3.4</v>
      </c>
      <c r="E31" s="6">
        <v>4</v>
      </c>
      <c r="F31" s="6">
        <v>3.7</v>
      </c>
      <c r="G31" s="6">
        <v>3.7</v>
      </c>
      <c r="H31" s="6">
        <v>4</v>
      </c>
      <c r="I31" s="6">
        <v>4</v>
      </c>
      <c r="J31" s="6">
        <v>3.4</v>
      </c>
      <c r="K31" s="6">
        <v>4</v>
      </c>
      <c r="L31" s="6">
        <v>3.9</v>
      </c>
      <c r="M31" s="6">
        <v>4</v>
      </c>
      <c r="N31" s="6">
        <v>4</v>
      </c>
      <c r="O31" s="6">
        <f t="shared" si="0"/>
        <v>3.8</v>
      </c>
      <c r="P31" s="6">
        <f t="array" ref="P31">IF(B31="","",IFERROR(INDEX('Semester 4'!$O$7:$O$62,MATCH(B31,'Semester 4'!$B$7:$B$62,0)),""))</f>
        <v>3.8</v>
      </c>
      <c r="Q31" s="6">
        <f t="array" ref="Q31">IF(B31="","",IFERROR(ROUND((SUMPRODUCT(INDEX('Semester 1'!$D$7:$I$62,MATCH(B31,'Semester 1'!$B$7:$B$62,0),0),{4,3,3,3,3,0})+SUMPRODUCT(INDEX('Semester 2'!$D$7:$I$64,MATCH(B31,'Semester 2'!$B$7:$B$64,0),0),{4,3,3,3,4,0})+SUMPRODUCT(INDEX('Semester 3'!$D$7:$N$64,MATCH(B31,'Semester 3'!$B$7:$B$64,0),0),{3,1,2,1,2,2,1,2,1,2,2})+SUMPRODUCT(INDEX('Semester 4'!$D$7:$M$64,MATCH(B31,'Semester 4'!$B$7:$B$64,0),0),{2,1,2,1,2,1,2,3,2,2})+SUMPRODUCT(D31:N31,{2,1,2,1,2,1,2,1,3,3,0}))/88,2),""))</f>
        <v>3.8</v>
      </c>
      <c r="R31" s="4" t="s">
        <v>17</v>
      </c>
    </row>
    <row r="32" spans="1:18" ht="14.25" customHeight="1">
      <c r="A32" s="4">
        <v>26</v>
      </c>
      <c r="B32" s="4" t="s">
        <v>82</v>
      </c>
      <c r="C32" s="5" t="s">
        <v>178</v>
      </c>
      <c r="D32" s="6">
        <v>2.7</v>
      </c>
      <c r="E32" s="6">
        <v>3.3</v>
      </c>
      <c r="F32" s="6">
        <v>3.1</v>
      </c>
      <c r="G32" s="6">
        <v>2.2000000000000002</v>
      </c>
      <c r="H32" s="6">
        <v>2.8</v>
      </c>
      <c r="I32" s="6">
        <v>2.2999999999999998</v>
      </c>
      <c r="J32" s="6">
        <v>3.4</v>
      </c>
      <c r="K32" s="6">
        <v>3.8</v>
      </c>
      <c r="L32" s="6">
        <v>4</v>
      </c>
      <c r="M32" s="6">
        <v>2.4</v>
      </c>
      <c r="N32" s="6">
        <v>4</v>
      </c>
      <c r="O32" s="6">
        <f t="shared" si="0"/>
        <v>3.04</v>
      </c>
      <c r="P32" s="6">
        <f t="array" ref="P32">IF(B32="","",IFERROR(INDEX('Semester 4'!$O$7:$O$62,MATCH(B32,'Semester 4'!$B$7:$B$62,0)),""))</f>
        <v>3.39</v>
      </c>
      <c r="Q32" s="6">
        <f t="array" ref="Q32">IF(B32="","",IFERROR(ROUND((SUMPRODUCT(INDEX('Semester 1'!$D$7:$I$62,MATCH(B32,'Semester 1'!$B$7:$B$62,0),0),{4,3,3,3,3,0})+SUMPRODUCT(INDEX('Semester 2'!$D$7:$I$64,MATCH(B32,'Semester 2'!$B$7:$B$64,0),0),{4,3,3,3,4,0})+SUMPRODUCT(INDEX('Semester 3'!$D$7:$N$64,MATCH(B32,'Semester 3'!$B$7:$B$64,0),0),{3,1,2,1,2,2,1,2,1,2,2})+SUMPRODUCT(INDEX('Semester 4'!$D$7:$M$64,MATCH(B32,'Semester 4'!$B$7:$B$64,0),0),{2,1,2,1,2,1,2,3,2,2})+SUMPRODUCT(D32:N32,{2,1,2,1,2,1,2,1,3,3,0}))/88,2),""))</f>
        <v>3.32</v>
      </c>
      <c r="R32" s="4" t="s">
        <v>17</v>
      </c>
    </row>
    <row r="33" spans="1:18" ht="14.25" customHeight="1">
      <c r="A33" s="4">
        <v>27</v>
      </c>
      <c r="B33" s="4" t="s">
        <v>84</v>
      </c>
      <c r="C33" s="5" t="s">
        <v>85</v>
      </c>
      <c r="D33" s="6">
        <v>2.2999999999999998</v>
      </c>
      <c r="E33" s="6">
        <v>3</v>
      </c>
      <c r="F33" s="6">
        <v>3.1</v>
      </c>
      <c r="G33" s="6">
        <v>2.7</v>
      </c>
      <c r="H33" s="6">
        <v>2.7</v>
      </c>
      <c r="I33" s="6">
        <v>2</v>
      </c>
      <c r="J33" s="6">
        <v>2.7</v>
      </c>
      <c r="K33" s="6">
        <v>4</v>
      </c>
      <c r="L33" s="6">
        <v>3.5</v>
      </c>
      <c r="M33" s="6">
        <v>2.7</v>
      </c>
      <c r="N33" s="6">
        <v>4</v>
      </c>
      <c r="O33" s="6">
        <f t="shared" si="0"/>
        <v>2.88</v>
      </c>
      <c r="P33" s="6">
        <f t="array" ref="P33">IF(B33="","",IFERROR(INDEX('Semester 4'!$O$7:$O$62,MATCH(B33,'Semester 4'!$B$7:$B$62,0)),""))</f>
        <v>3.15</v>
      </c>
      <c r="Q33" s="6">
        <f t="array" ref="Q33">IF(B33="","",IFERROR(ROUND((SUMPRODUCT(INDEX('Semester 1'!$D$7:$I$62,MATCH(B33,'Semester 1'!$B$7:$B$62,0),0),{4,3,3,3,3,0})+SUMPRODUCT(INDEX('Semester 2'!$D$7:$I$64,MATCH(B33,'Semester 2'!$B$7:$B$64,0),0),{4,3,3,3,4,0})+SUMPRODUCT(INDEX('Semester 3'!$D$7:$N$64,MATCH(B33,'Semester 3'!$B$7:$B$64,0),0),{3,1,2,1,2,2,1,2,1,2,2})+SUMPRODUCT(INDEX('Semester 4'!$D$7:$M$64,MATCH(B33,'Semester 4'!$B$7:$B$64,0),0),{2,1,2,1,2,1,2,3,2,2})+SUMPRODUCT(D33:N33,{2,1,2,1,2,1,2,1,3,3,0}))/88,2),""))</f>
        <v>3.1</v>
      </c>
      <c r="R33" s="4" t="s">
        <v>17</v>
      </c>
    </row>
    <row r="34" spans="1:18" ht="14.25" customHeight="1">
      <c r="A34" s="4">
        <v>28</v>
      </c>
      <c r="B34" s="4" t="s">
        <v>86</v>
      </c>
      <c r="C34" s="5" t="s">
        <v>87</v>
      </c>
      <c r="D34" s="6">
        <v>2.2999999999999998</v>
      </c>
      <c r="E34" s="6">
        <v>3</v>
      </c>
      <c r="F34" s="6">
        <v>3.1</v>
      </c>
      <c r="G34" s="6">
        <v>3</v>
      </c>
      <c r="H34" s="6">
        <v>2.5</v>
      </c>
      <c r="I34" s="6">
        <v>2</v>
      </c>
      <c r="J34" s="6">
        <v>2.1</v>
      </c>
      <c r="K34" s="6">
        <v>3.3</v>
      </c>
      <c r="L34" s="6">
        <v>3.7</v>
      </c>
      <c r="M34" s="6">
        <v>2.9</v>
      </c>
      <c r="N34" s="6">
        <v>4</v>
      </c>
      <c r="O34" s="6">
        <f t="shared" si="0"/>
        <v>2.84</v>
      </c>
      <c r="P34" s="6">
        <f t="array" ref="P34">IF(B34="","",IFERROR(INDEX('Semester 4'!$O$7:$O$62,MATCH(B34,'Semester 4'!$B$7:$B$62,0)),""))</f>
        <v>3</v>
      </c>
      <c r="Q34" s="6">
        <f t="array" ref="Q34">IF(B34="","",IFERROR(ROUND((SUMPRODUCT(INDEX('Semester 1'!$D$7:$I$62,MATCH(B34,'Semester 1'!$B$7:$B$62,0),0),{4,3,3,3,3,0})+SUMPRODUCT(INDEX('Semester 2'!$D$7:$I$64,MATCH(B34,'Semester 2'!$B$7:$B$64,0),0),{4,3,3,3,4,0})+SUMPRODUCT(INDEX('Semester 3'!$D$7:$N$64,MATCH(B34,'Semester 3'!$B$7:$B$64,0),0),{3,1,2,1,2,2,1,2,1,2,2})+SUMPRODUCT(INDEX('Semester 4'!$D$7:$M$64,MATCH(B34,'Semester 4'!$B$7:$B$64,0),0),{2,1,2,1,2,1,2,3,2,2})+SUMPRODUCT(D34:N34,{2,1,2,1,2,1,2,1,3,3,0}))/88,2),""))</f>
        <v>2.97</v>
      </c>
      <c r="R34" s="4" t="s">
        <v>17</v>
      </c>
    </row>
    <row r="35" spans="1:18" ht="14.25" customHeight="1">
      <c r="A35" s="4">
        <v>29</v>
      </c>
      <c r="B35" s="4" t="s">
        <v>88</v>
      </c>
      <c r="C35" s="5" t="s">
        <v>89</v>
      </c>
      <c r="D35" s="6">
        <v>2.7</v>
      </c>
      <c r="E35" s="6">
        <v>3</v>
      </c>
      <c r="F35" s="6">
        <v>2.7</v>
      </c>
      <c r="G35" s="6">
        <v>2.4</v>
      </c>
      <c r="H35" s="6">
        <v>2.4</v>
      </c>
      <c r="I35" s="6">
        <v>3.3</v>
      </c>
      <c r="J35" s="6">
        <v>3.3</v>
      </c>
      <c r="K35" s="6">
        <v>3.1</v>
      </c>
      <c r="L35" s="6">
        <v>2.7</v>
      </c>
      <c r="M35" s="6">
        <v>2.6</v>
      </c>
      <c r="N35" s="6">
        <v>4</v>
      </c>
      <c r="O35" s="6">
        <f t="shared" si="0"/>
        <v>2.77</v>
      </c>
      <c r="P35" s="6">
        <f t="array" ref="P35">IF(B35="","",IFERROR(INDEX('Semester 4'!$O$7:$O$62,MATCH(B35,'Semester 4'!$B$7:$B$62,0)),""))</f>
        <v>3.27</v>
      </c>
      <c r="Q35" s="6">
        <f t="array" ref="Q35">IF(B35="","",IFERROR(ROUND((SUMPRODUCT(INDEX('Semester 1'!$D$7:$I$62,MATCH(B35,'Semester 1'!$B$7:$B$62,0),0),{4,3,3,3,3,0})+SUMPRODUCT(INDEX('Semester 2'!$D$7:$I$64,MATCH(B35,'Semester 2'!$B$7:$B$64,0),0),{4,3,3,3,4,0})+SUMPRODUCT(INDEX('Semester 3'!$D$7:$N$64,MATCH(B35,'Semester 3'!$B$7:$B$64,0),0),{3,1,2,1,2,2,1,2,1,2,2})+SUMPRODUCT(INDEX('Semester 4'!$D$7:$M$64,MATCH(B35,'Semester 4'!$B$7:$B$64,0),0),{2,1,2,1,2,1,2,3,2,2})+SUMPRODUCT(D35:N35,{2,1,2,1,2,1,2,1,3,3,0}))/88,2),""))</f>
        <v>3.17</v>
      </c>
      <c r="R35" s="4" t="s">
        <v>17</v>
      </c>
    </row>
    <row r="36" spans="1:18" ht="14.25" customHeight="1">
      <c r="A36" s="4">
        <v>30</v>
      </c>
      <c r="B36" s="4" t="s">
        <v>90</v>
      </c>
      <c r="C36" s="5" t="s">
        <v>91</v>
      </c>
      <c r="D36" s="6">
        <v>2.7</v>
      </c>
      <c r="E36" s="6">
        <v>3</v>
      </c>
      <c r="F36" s="6">
        <v>3</v>
      </c>
      <c r="G36" s="6">
        <v>2.4</v>
      </c>
      <c r="H36" s="6">
        <v>3</v>
      </c>
      <c r="I36" s="6">
        <v>3.3</v>
      </c>
      <c r="J36" s="6">
        <v>2.7</v>
      </c>
      <c r="K36" s="6">
        <v>3.5</v>
      </c>
      <c r="L36" s="6">
        <v>4</v>
      </c>
      <c r="M36" s="6">
        <v>3.1</v>
      </c>
      <c r="N36" s="6">
        <v>4</v>
      </c>
      <c r="O36" s="6">
        <f t="shared" si="0"/>
        <v>3.13</v>
      </c>
      <c r="P36" s="6">
        <f t="array" ref="P36">IF(B36="","",IFERROR(INDEX('Semester 4'!$O$7:$O$62,MATCH(B36,'Semester 4'!$B$7:$B$62,0)),""))</f>
        <v>3.41</v>
      </c>
      <c r="Q36" s="6">
        <f t="array" ref="Q36">IF(B36="","",IFERROR(ROUND((SUMPRODUCT(INDEX('Semester 1'!$D$7:$I$62,MATCH(B36,'Semester 1'!$B$7:$B$62,0),0),{4,3,3,3,3,0})+SUMPRODUCT(INDEX('Semester 2'!$D$7:$I$64,MATCH(B36,'Semester 2'!$B$7:$B$64,0),0),{4,3,3,3,4,0})+SUMPRODUCT(INDEX('Semester 3'!$D$7:$N$64,MATCH(B36,'Semester 3'!$B$7:$B$64,0),0),{3,1,2,1,2,2,1,2,1,2,2})+SUMPRODUCT(INDEX('Semester 4'!$D$7:$M$64,MATCH(B36,'Semester 4'!$B$7:$B$64,0),0),{2,1,2,1,2,1,2,3,2,2})+SUMPRODUCT(D36:N36,{2,1,2,1,2,1,2,1,3,3,0}))/88,2),""))</f>
        <v>3.35</v>
      </c>
      <c r="R36" s="4" t="s">
        <v>17</v>
      </c>
    </row>
    <row r="37" spans="1:18" ht="14.25" customHeight="1">
      <c r="A37" s="4">
        <v>31</v>
      </c>
      <c r="B37" s="4" t="s">
        <v>94</v>
      </c>
      <c r="C37" s="5" t="s">
        <v>95</v>
      </c>
      <c r="D37" s="6">
        <v>2.7</v>
      </c>
      <c r="E37" s="6">
        <v>3</v>
      </c>
      <c r="F37" s="6">
        <v>3.4</v>
      </c>
      <c r="G37" s="6">
        <v>3.3</v>
      </c>
      <c r="H37" s="6">
        <v>3.1</v>
      </c>
      <c r="I37" s="6">
        <v>3.3</v>
      </c>
      <c r="J37" s="6">
        <v>3.4</v>
      </c>
      <c r="K37" s="6">
        <v>3.6</v>
      </c>
      <c r="L37" s="6">
        <v>3.4</v>
      </c>
      <c r="M37" s="6">
        <v>3.3</v>
      </c>
      <c r="N37" s="6">
        <v>4</v>
      </c>
      <c r="O37" s="6">
        <f t="shared" si="0"/>
        <v>3.25</v>
      </c>
      <c r="P37" s="6">
        <f t="array" ref="P37">IF(B37="","",IFERROR(INDEX('Semester 4'!$O$7:$O$62,MATCH(B37,'Semester 4'!$B$7:$B$62,0)),""))</f>
        <v>3.43</v>
      </c>
      <c r="Q37" s="6">
        <f t="array" ref="Q37">IF(B37="","",IFERROR(ROUND((SUMPRODUCT(INDEX('Semester 1'!$D$7:$I$62,MATCH(B37,'Semester 1'!$B$7:$B$62,0),0),{4,3,3,3,3,0})+SUMPRODUCT(INDEX('Semester 2'!$D$7:$I$64,MATCH(B37,'Semester 2'!$B$7:$B$64,0),0),{4,3,3,3,4,0})+SUMPRODUCT(INDEX('Semester 3'!$D$7:$N$64,MATCH(B37,'Semester 3'!$B$7:$B$64,0),0),{3,1,2,1,2,2,1,2,1,2,2})+SUMPRODUCT(INDEX('Semester 4'!$D$7:$M$64,MATCH(B37,'Semester 4'!$B$7:$B$64,0),0),{2,1,2,1,2,1,2,3,2,2})+SUMPRODUCT(D37:N37,{2,1,2,1,2,1,2,1,3,3,0}))/88,2),""))</f>
        <v>3.39</v>
      </c>
      <c r="R37" s="4" t="s">
        <v>17</v>
      </c>
    </row>
    <row r="38" spans="1:18" ht="14.25" customHeight="1">
      <c r="A38" s="4">
        <v>32</v>
      </c>
      <c r="B38" s="4" t="s">
        <v>96</v>
      </c>
      <c r="C38" s="5" t="s">
        <v>97</v>
      </c>
      <c r="D38" s="6">
        <v>2.8</v>
      </c>
      <c r="E38" s="6">
        <v>3</v>
      </c>
      <c r="F38" s="6">
        <v>3.1</v>
      </c>
      <c r="G38" s="6">
        <v>2.5</v>
      </c>
      <c r="H38" s="6">
        <v>2.7</v>
      </c>
      <c r="I38" s="6">
        <v>2.2999999999999998</v>
      </c>
      <c r="J38" s="6">
        <v>3.3</v>
      </c>
      <c r="K38" s="6">
        <v>3.3</v>
      </c>
      <c r="L38" s="6">
        <v>2.7</v>
      </c>
      <c r="M38" s="6">
        <v>2.2000000000000002</v>
      </c>
      <c r="N38" s="6">
        <v>4</v>
      </c>
      <c r="O38" s="6">
        <f t="shared" si="0"/>
        <v>2.76</v>
      </c>
      <c r="P38" s="6">
        <f t="array" ref="P38">IF(B38="","",IFERROR(INDEX('Semester 4'!$O$7:$O$62,MATCH(B38,'Semester 4'!$B$7:$B$62,0)),""))</f>
        <v>3.1</v>
      </c>
      <c r="Q38" s="6">
        <f t="array" ref="Q38">IF(B38="","",IFERROR(ROUND((SUMPRODUCT(INDEX('Semester 1'!$D$7:$I$62,MATCH(B38,'Semester 1'!$B$7:$B$62,0),0),{4,3,3,3,3,0})+SUMPRODUCT(INDEX('Semester 2'!$D$7:$I$64,MATCH(B38,'Semester 2'!$B$7:$B$64,0),0),{4,3,3,3,4,0})+SUMPRODUCT(INDEX('Semester 3'!$D$7:$N$64,MATCH(B38,'Semester 3'!$B$7:$B$64,0),0),{3,1,2,1,2,2,1,2,1,2,2})+SUMPRODUCT(INDEX('Semester 4'!$D$7:$M$64,MATCH(B38,'Semester 4'!$B$7:$B$64,0),0),{2,1,2,1,2,1,2,3,2,2})+SUMPRODUCT(D38:N38,{2,1,2,1,2,1,2,1,3,3,0}))/88,2),""))</f>
        <v>3.03</v>
      </c>
      <c r="R38" s="4" t="s">
        <v>17</v>
      </c>
    </row>
    <row r="39" spans="1:18" ht="14.25" customHeight="1">
      <c r="A39" s="4">
        <v>33</v>
      </c>
      <c r="B39" s="4" t="s">
        <v>98</v>
      </c>
      <c r="C39" s="5" t="s">
        <v>99</v>
      </c>
      <c r="D39" s="6">
        <v>2.5</v>
      </c>
      <c r="E39" s="6">
        <v>3.3</v>
      </c>
      <c r="F39" s="6">
        <v>2.8</v>
      </c>
      <c r="G39" s="6">
        <v>2.7</v>
      </c>
      <c r="H39" s="6">
        <v>3.3</v>
      </c>
      <c r="I39" s="6">
        <v>2</v>
      </c>
      <c r="J39" s="6">
        <v>3</v>
      </c>
      <c r="K39" s="6">
        <v>3.3</v>
      </c>
      <c r="L39" s="6">
        <v>3.6</v>
      </c>
      <c r="M39" s="6">
        <v>4</v>
      </c>
      <c r="N39" s="6">
        <v>4</v>
      </c>
      <c r="O39" s="6">
        <f t="shared" si="0"/>
        <v>3.18</v>
      </c>
      <c r="P39" s="6">
        <f t="array" ref="P39">IF(B39="","",IFERROR(INDEX('Semester 4'!$O$7:$O$62,MATCH(B39,'Semester 4'!$B$7:$B$62,0)),""))</f>
        <v>3.43</v>
      </c>
      <c r="Q39" s="6">
        <f t="array" ref="Q39">IF(B39="","",IFERROR(ROUND((SUMPRODUCT(INDEX('Semester 1'!$D$7:$I$62,MATCH(B39,'Semester 1'!$B$7:$B$62,0),0),{4,3,3,3,3,0})+SUMPRODUCT(INDEX('Semester 2'!$D$7:$I$64,MATCH(B39,'Semester 2'!$B$7:$B$64,0),0),{4,3,3,3,4,0})+SUMPRODUCT(INDEX('Semester 3'!$D$7:$N$64,MATCH(B39,'Semester 3'!$B$7:$B$64,0),0),{3,1,2,1,2,2,1,2,1,2,2})+SUMPRODUCT(INDEX('Semester 4'!$D$7:$M$64,MATCH(B39,'Semester 4'!$B$7:$B$64,0),0),{2,1,2,1,2,1,2,3,2,2})+SUMPRODUCT(D39:N39,{2,1,2,1,2,1,2,1,3,3,0}))/88,2),""))</f>
        <v>3.38</v>
      </c>
      <c r="R39" s="4" t="s">
        <v>17</v>
      </c>
    </row>
    <row r="40" spans="1:18" ht="14.25" customHeight="1">
      <c r="A40" s="4">
        <v>34</v>
      </c>
      <c r="B40" s="4" t="s">
        <v>100</v>
      </c>
      <c r="C40" s="5" t="s">
        <v>179</v>
      </c>
      <c r="D40" s="6">
        <v>2</v>
      </c>
      <c r="E40" s="6">
        <v>2.2999999999999998</v>
      </c>
      <c r="F40" s="6">
        <v>2.5</v>
      </c>
      <c r="G40" s="6">
        <v>2.4</v>
      </c>
      <c r="H40" s="6">
        <v>2</v>
      </c>
      <c r="I40" s="6">
        <v>2</v>
      </c>
      <c r="J40" s="6">
        <v>2.1</v>
      </c>
      <c r="K40" s="6">
        <v>3.7</v>
      </c>
      <c r="L40" s="6">
        <v>4</v>
      </c>
      <c r="M40" s="6">
        <v>0</v>
      </c>
      <c r="N40" s="6">
        <v>3</v>
      </c>
      <c r="O40" s="6">
        <f t="shared" si="0"/>
        <v>2.2000000000000002</v>
      </c>
      <c r="P40" s="6">
        <f t="array" ref="P40">IF(B40="","",IFERROR(INDEX('Semester 4'!$O$7:$O$62,MATCH(B40,'Semester 4'!$B$7:$B$62,0)),""))</f>
        <v>2.96</v>
      </c>
      <c r="Q40" s="6">
        <f t="array" ref="Q40">IF(B40="","",IFERROR(ROUND((SUMPRODUCT(INDEX('Semester 1'!$D$7:$I$62,MATCH(B40,'Semester 1'!$B$7:$B$62,0),0),{4,3,3,3,3,0})+SUMPRODUCT(INDEX('Semester 2'!$D$7:$I$64,MATCH(B40,'Semester 2'!$B$7:$B$64,0),0),{4,3,3,3,4,0})+SUMPRODUCT(INDEX('Semester 3'!$D$7:$N$64,MATCH(B40,'Semester 3'!$B$7:$B$64,0),0),{3,1,2,1,2,2,1,2,1,2,2})+SUMPRODUCT(INDEX('Semester 4'!$D$7:$M$64,MATCH(B40,'Semester 4'!$B$7:$B$64,0),0),{2,1,2,1,2,1,2,3,2,2})+SUMPRODUCT(D40:N40,{2,1,2,1,2,1,2,1,3,3,0}))/88,2),""))</f>
        <v>2.81</v>
      </c>
      <c r="R40" s="4" t="s">
        <v>17</v>
      </c>
    </row>
    <row r="41" spans="1:18" ht="14.25" customHeight="1">
      <c r="A41" s="4">
        <v>35</v>
      </c>
      <c r="B41" s="4" t="s">
        <v>102</v>
      </c>
      <c r="C41" s="5" t="s">
        <v>103</v>
      </c>
      <c r="D41" s="6">
        <v>2.5</v>
      </c>
      <c r="E41" s="6">
        <v>3</v>
      </c>
      <c r="F41" s="6">
        <v>2.5</v>
      </c>
      <c r="G41" s="6">
        <v>2.1</v>
      </c>
      <c r="H41" s="6">
        <v>2.6</v>
      </c>
      <c r="I41" s="6">
        <v>3.7</v>
      </c>
      <c r="J41" s="6">
        <v>2.7</v>
      </c>
      <c r="K41" s="6">
        <v>3.8</v>
      </c>
      <c r="L41" s="6">
        <v>3.8</v>
      </c>
      <c r="M41" s="6">
        <v>2.9</v>
      </c>
      <c r="N41" s="6">
        <v>4</v>
      </c>
      <c r="O41" s="6">
        <f t="shared" si="0"/>
        <v>2.96</v>
      </c>
      <c r="P41" s="6">
        <f t="array" ref="P41">IF(B41="","",IFERROR(INDEX('Semester 4'!$O$7:$O$62,MATCH(B41,'Semester 4'!$B$7:$B$62,0)),""))</f>
        <v>2.94</v>
      </c>
      <c r="Q41" s="6">
        <f t="array" ref="Q41">IF(B41="","",IFERROR(ROUND((SUMPRODUCT(INDEX('Semester 1'!$D$7:$I$62,MATCH(B41,'Semester 1'!$B$7:$B$62,0),0),{4,3,3,3,3,0})+SUMPRODUCT(INDEX('Semester 2'!$D$7:$I$64,MATCH(B41,'Semester 2'!$B$7:$B$64,0),0),{4,3,3,3,4,0})+SUMPRODUCT(INDEX('Semester 3'!$D$7:$N$64,MATCH(B41,'Semester 3'!$B$7:$B$64,0),0),{3,1,2,1,2,2,1,2,1,2,2})+SUMPRODUCT(INDEX('Semester 4'!$D$7:$M$64,MATCH(B41,'Semester 4'!$B$7:$B$64,0),0),{2,1,2,1,2,1,2,3,2,2})+SUMPRODUCT(D41:N41,{2,1,2,1,2,1,2,1,3,3,0}))/88,2),""))</f>
        <v>2.95</v>
      </c>
      <c r="R41" s="4" t="s">
        <v>17</v>
      </c>
    </row>
    <row r="42" spans="1:18" ht="14.25" customHeight="1">
      <c r="A42" s="4">
        <v>36</v>
      </c>
      <c r="B42" s="4" t="s">
        <v>106</v>
      </c>
      <c r="C42" s="5" t="s">
        <v>107</v>
      </c>
      <c r="D42" s="6">
        <v>2.1</v>
      </c>
      <c r="E42" s="6">
        <v>3</v>
      </c>
      <c r="F42" s="6">
        <v>3.7</v>
      </c>
      <c r="G42" s="6">
        <v>3.7</v>
      </c>
      <c r="H42" s="6">
        <v>2.7</v>
      </c>
      <c r="I42" s="6">
        <v>3</v>
      </c>
      <c r="J42" s="6">
        <v>2.7</v>
      </c>
      <c r="K42" s="6">
        <v>2.8</v>
      </c>
      <c r="L42" s="6">
        <v>4</v>
      </c>
      <c r="M42" s="6">
        <v>3.6</v>
      </c>
      <c r="N42" s="6">
        <v>4</v>
      </c>
      <c r="O42" s="6">
        <f t="shared" si="0"/>
        <v>3.21</v>
      </c>
      <c r="P42" s="6">
        <f t="array" ref="P42">IF(B42="","",IFERROR(INDEX('Semester 4'!$O$7:$O$62,MATCH(B42,'Semester 4'!$B$7:$B$62,0)),""))</f>
        <v>3.4</v>
      </c>
      <c r="Q42" s="6">
        <f t="array" ref="Q42">IF(B42="","",IFERROR(ROUND((SUMPRODUCT(INDEX('Semester 1'!$D$7:$I$62,MATCH(B42,'Semester 1'!$B$7:$B$62,0),0),{4,3,3,3,3,0})+SUMPRODUCT(INDEX('Semester 2'!$D$7:$I$64,MATCH(B42,'Semester 2'!$B$7:$B$64,0),0),{4,3,3,3,4,0})+SUMPRODUCT(INDEX('Semester 3'!$D$7:$N$64,MATCH(B42,'Semester 3'!$B$7:$B$64,0),0),{3,1,2,1,2,2,1,2,1,2,2})+SUMPRODUCT(INDEX('Semester 4'!$D$7:$M$64,MATCH(B42,'Semester 4'!$B$7:$B$64,0),0),{2,1,2,1,2,1,2,3,2,2})+SUMPRODUCT(D42:N42,{2,1,2,1,2,1,2,1,3,3,0}))/88,2),""))</f>
        <v>3.36</v>
      </c>
      <c r="R42" s="4" t="s">
        <v>17</v>
      </c>
    </row>
    <row r="43" spans="1:18" ht="14.25" customHeight="1">
      <c r="A43" s="4">
        <v>37</v>
      </c>
      <c r="B43" s="4" t="s">
        <v>108</v>
      </c>
      <c r="C43" s="5" t="s">
        <v>109</v>
      </c>
      <c r="D43" s="6">
        <v>2</v>
      </c>
      <c r="E43" s="6">
        <v>3</v>
      </c>
      <c r="F43" s="6">
        <v>2.2000000000000002</v>
      </c>
      <c r="G43" s="6">
        <v>2.1</v>
      </c>
      <c r="H43" s="6">
        <v>2</v>
      </c>
      <c r="I43" s="6">
        <v>3.3</v>
      </c>
      <c r="J43" s="6">
        <v>2.7</v>
      </c>
      <c r="K43" s="6">
        <v>3.7</v>
      </c>
      <c r="L43" s="6">
        <v>3.9</v>
      </c>
      <c r="M43" s="6">
        <v>2.1</v>
      </c>
      <c r="N43" s="6">
        <v>4</v>
      </c>
      <c r="O43" s="6">
        <f t="shared" si="0"/>
        <v>2.66</v>
      </c>
      <c r="P43" s="6">
        <f t="array" ref="P43">IF(B43="","",IFERROR(INDEX('Semester 4'!$O$7:$O$62,MATCH(B43,'Semester 4'!$B$7:$B$62,0)),""))</f>
        <v>2.93</v>
      </c>
      <c r="Q43" s="6">
        <f t="array" ref="Q43">IF(B43="","",IFERROR(ROUND((SUMPRODUCT(INDEX('Semester 1'!$D$7:$I$62,MATCH(B43,'Semester 1'!$B$7:$B$62,0),0),{4,3,3,3,3,0})+SUMPRODUCT(INDEX('Semester 2'!$D$7:$I$64,MATCH(B43,'Semester 2'!$B$7:$B$64,0),0),{4,3,3,3,4,0})+SUMPRODUCT(INDEX('Semester 3'!$D$7:$N$64,MATCH(B43,'Semester 3'!$B$7:$B$64,0),0),{3,1,2,1,2,2,1,2,1,2,2})+SUMPRODUCT(INDEX('Semester 4'!$D$7:$M$64,MATCH(B43,'Semester 4'!$B$7:$B$64,0),0),{2,1,2,1,2,1,2,3,2,2})+SUMPRODUCT(D43:N43,{2,1,2,1,2,1,2,1,3,3,0}))/88,2),""))</f>
        <v>2.87</v>
      </c>
      <c r="R43" s="4" t="s">
        <v>17</v>
      </c>
    </row>
    <row r="44" spans="1:18" ht="14.25" customHeight="1">
      <c r="A44" s="4">
        <v>38</v>
      </c>
      <c r="B44" s="4" t="s">
        <v>110</v>
      </c>
      <c r="C44" s="5" t="s">
        <v>180</v>
      </c>
      <c r="D44" s="6">
        <v>2</v>
      </c>
      <c r="E44" s="6">
        <v>3</v>
      </c>
      <c r="F44" s="6">
        <v>3.1</v>
      </c>
      <c r="G44" s="6">
        <v>0</v>
      </c>
      <c r="H44" s="6">
        <v>3.2</v>
      </c>
      <c r="I44" s="6">
        <v>3</v>
      </c>
      <c r="J44" s="6">
        <v>3.4</v>
      </c>
      <c r="K44" s="6">
        <v>3.6</v>
      </c>
      <c r="L44" s="6">
        <v>4</v>
      </c>
      <c r="M44" s="6">
        <v>2.6</v>
      </c>
      <c r="N44" s="6">
        <v>4</v>
      </c>
      <c r="O44" s="6">
        <f t="shared" si="0"/>
        <v>2.93</v>
      </c>
      <c r="P44" s="6">
        <f t="array" ref="P44">IF(B44="","",IFERROR(INDEX('Semester 4'!$O$7:$O$62,MATCH(B44,'Semester 4'!$B$7:$B$62,0)),""))</f>
        <v>3.36</v>
      </c>
      <c r="Q44" s="6">
        <f t="array" ref="Q44">IF(B44="","",IFERROR(ROUND((SUMPRODUCT(INDEX('Semester 1'!$D$7:$I$62,MATCH(B44,'Semester 1'!$B$7:$B$62,0),0),{4,3,3,3,3,0})+SUMPRODUCT(INDEX('Semester 2'!$D$7:$I$64,MATCH(B44,'Semester 2'!$B$7:$B$64,0),0),{4,3,3,3,4,0})+SUMPRODUCT(INDEX('Semester 3'!$D$7:$N$64,MATCH(B44,'Semester 3'!$B$7:$B$64,0),0),{3,1,2,1,2,2,1,2,1,2,2})+SUMPRODUCT(INDEX('Semester 4'!$D$7:$M$64,MATCH(B44,'Semester 4'!$B$7:$B$64,0),0),{2,1,2,1,2,1,2,3,2,2})+SUMPRODUCT(D44:N44,{2,1,2,1,2,1,2,1,3,3,0}))/88,2),""))</f>
        <v>3.27</v>
      </c>
      <c r="R44" s="4" t="s">
        <v>17</v>
      </c>
    </row>
    <row r="45" spans="1:18" ht="14.25" customHeight="1">
      <c r="A45" s="4">
        <v>39</v>
      </c>
      <c r="B45" s="4" t="s">
        <v>112</v>
      </c>
      <c r="C45" s="5" t="s">
        <v>113</v>
      </c>
      <c r="D45" s="6">
        <v>2</v>
      </c>
      <c r="E45" s="6">
        <v>3</v>
      </c>
      <c r="F45" s="6">
        <v>2.7</v>
      </c>
      <c r="G45" s="6">
        <v>2.4</v>
      </c>
      <c r="H45" s="6">
        <v>2</v>
      </c>
      <c r="I45" s="6">
        <v>2</v>
      </c>
      <c r="J45" s="6">
        <v>3.3</v>
      </c>
      <c r="K45" s="6">
        <v>3.3</v>
      </c>
      <c r="L45" s="6">
        <v>3.1</v>
      </c>
      <c r="M45" s="6">
        <v>2.1</v>
      </c>
      <c r="N45" s="6">
        <v>3.9</v>
      </c>
      <c r="O45" s="6">
        <f t="shared" si="0"/>
        <v>2.57</v>
      </c>
      <c r="P45" s="6">
        <f t="array" ref="P45">IF(B45="","",IFERROR(INDEX('Semester 4'!$O$7:$O$62,MATCH(B45,'Semester 4'!$B$7:$B$62,0)),""))</f>
        <v>3.06</v>
      </c>
      <c r="Q45" s="6">
        <f t="array" ref="Q45">IF(B45="","",IFERROR(ROUND((SUMPRODUCT(INDEX('Semester 1'!$D$7:$I$62,MATCH(B45,'Semester 1'!$B$7:$B$62,0),0),{4,3,3,3,3,0})+SUMPRODUCT(INDEX('Semester 2'!$D$7:$I$64,MATCH(B45,'Semester 2'!$B$7:$B$64,0),0),{4,3,3,3,4,0})+SUMPRODUCT(INDEX('Semester 3'!$D$7:$N$64,MATCH(B45,'Semester 3'!$B$7:$B$64,0),0),{3,1,2,1,2,2,1,2,1,2,2})+SUMPRODUCT(INDEX('Semester 4'!$D$7:$M$64,MATCH(B45,'Semester 4'!$B$7:$B$64,0),0),{2,1,2,1,2,1,2,3,2,2})+SUMPRODUCT(D45:N45,{2,1,2,1,2,1,2,1,3,3,0}))/88,2),""))</f>
        <v>2.96</v>
      </c>
      <c r="R45" s="4" t="s">
        <v>17</v>
      </c>
    </row>
    <row r="46" spans="1:18" ht="14.25" customHeight="1">
      <c r="A46" s="4">
        <v>40</v>
      </c>
      <c r="B46" s="4" t="s">
        <v>116</v>
      </c>
      <c r="C46" s="5" t="s">
        <v>181</v>
      </c>
      <c r="D46" s="6">
        <v>3</v>
      </c>
      <c r="E46" s="6">
        <v>4</v>
      </c>
      <c r="F46" s="6">
        <v>2.7</v>
      </c>
      <c r="G46" s="6">
        <v>2.2000000000000002</v>
      </c>
      <c r="H46" s="6">
        <v>2.9</v>
      </c>
      <c r="I46" s="6">
        <v>3.7</v>
      </c>
      <c r="J46" s="6">
        <v>4</v>
      </c>
      <c r="K46" s="6">
        <v>3.9</v>
      </c>
      <c r="L46" s="6">
        <v>4</v>
      </c>
      <c r="M46" s="6">
        <v>2.4</v>
      </c>
      <c r="N46" s="6">
        <v>4</v>
      </c>
      <c r="O46" s="6">
        <f t="shared" si="0"/>
        <v>3.23</v>
      </c>
      <c r="P46" s="6">
        <f t="array" ref="P46">IF(B46="","",IFERROR(INDEX('Semester 4'!$O$7:$O$62,MATCH(B46,'Semester 4'!$B$7:$B$62,0)),""))</f>
        <v>3.28</v>
      </c>
      <c r="Q46" s="6">
        <f t="array" ref="Q46">IF(B46="","",IFERROR(ROUND((SUMPRODUCT(INDEX('Semester 1'!$D$7:$I$62,MATCH(B46,'Semester 1'!$B$7:$B$62,0),0),{4,3,3,3,3,0})+SUMPRODUCT(INDEX('Semester 2'!$D$7:$I$64,MATCH(B46,'Semester 2'!$B$7:$B$64,0),0),{4,3,3,3,4,0})+SUMPRODUCT(INDEX('Semester 3'!$D$7:$N$64,MATCH(B46,'Semester 3'!$B$7:$B$64,0),0),{3,1,2,1,2,2,1,2,1,2,2})+SUMPRODUCT(INDEX('Semester 4'!$D$7:$M$64,MATCH(B46,'Semester 4'!$B$7:$B$64,0),0),{2,1,2,1,2,1,2,3,2,2})+SUMPRODUCT(D46:N46,{2,1,2,1,2,1,2,1,3,3,0}))/88,2),""))</f>
        <v>3.27</v>
      </c>
      <c r="R46" s="4" t="s">
        <v>17</v>
      </c>
    </row>
    <row r="47" spans="1:18" ht="14.25" customHeight="1">
      <c r="A47" s="4">
        <v>41</v>
      </c>
      <c r="B47" s="4" t="s">
        <v>118</v>
      </c>
      <c r="C47" s="5" t="s">
        <v>119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f t="shared" si="0"/>
        <v>0</v>
      </c>
      <c r="P47" s="6">
        <f t="array" ref="P47">IF(B47="","",IFERROR(INDEX('Semester 4'!$O$7:$O$62,MATCH(B47,'Semester 4'!$B$7:$B$62,0)),""))</f>
        <v>2.76</v>
      </c>
      <c r="Q47" s="6">
        <f t="array" ref="Q47">IF(B47="","",IFERROR(ROUND((SUMPRODUCT(INDEX('Semester 1'!$D$7:$I$62,MATCH(B47,'Semester 1'!$B$7:$B$62,0),0),{4,3,3,3,3,0})+SUMPRODUCT(INDEX('Semester 2'!$D$7:$I$64,MATCH(B47,'Semester 2'!$B$7:$B$64,0),0),{4,3,3,3,4,0})+SUMPRODUCT(INDEX('Semester 3'!$D$7:$N$64,MATCH(B47,'Semester 3'!$B$7:$B$64,0),0),{3,1,2,1,2,2,1,2,1,2,2})+SUMPRODUCT(INDEX('Semester 4'!$D$7:$M$64,MATCH(B47,'Semester 4'!$B$7:$B$64,0),0),{2,1,2,1,2,1,2,3,2,2})+SUMPRODUCT(D47:N47,{2,1,2,1,2,1,2,1,3,3,0}))/88,2),""))</f>
        <v>2.2000000000000002</v>
      </c>
      <c r="R47" s="4" t="s">
        <v>43</v>
      </c>
    </row>
    <row r="48" spans="1:18" ht="14.25" customHeight="1">
      <c r="A48" s="4">
        <v>42</v>
      </c>
      <c r="B48" s="4" t="s">
        <v>120</v>
      </c>
      <c r="C48" s="5" t="s">
        <v>121</v>
      </c>
      <c r="D48" s="6">
        <v>3.2</v>
      </c>
      <c r="E48" s="6">
        <v>4</v>
      </c>
      <c r="F48" s="6">
        <v>3.3</v>
      </c>
      <c r="G48" s="6">
        <v>2.7</v>
      </c>
      <c r="H48" s="6">
        <v>3.1</v>
      </c>
      <c r="I48" s="6">
        <v>3.7</v>
      </c>
      <c r="J48" s="6">
        <v>4</v>
      </c>
      <c r="K48" s="6">
        <v>4</v>
      </c>
      <c r="L48" s="6">
        <v>4</v>
      </c>
      <c r="M48" s="6">
        <v>3.4</v>
      </c>
      <c r="N48" s="6">
        <v>4</v>
      </c>
      <c r="O48" s="6">
        <f t="shared" si="0"/>
        <v>3.54</v>
      </c>
      <c r="P48" s="6">
        <f t="array" ref="P48">IF(B48="","",IFERROR(INDEX('Semester 4'!$O$7:$O$62,MATCH(B48,'Semester 4'!$B$7:$B$62,0)),""))</f>
        <v>3.52</v>
      </c>
      <c r="Q48" s="6">
        <f t="array" ref="Q48">IF(B48="","",IFERROR(ROUND((SUMPRODUCT(INDEX('Semester 1'!$D$7:$I$62,MATCH(B48,'Semester 1'!$B$7:$B$62,0),0),{4,3,3,3,3,0})+SUMPRODUCT(INDEX('Semester 2'!$D$7:$I$64,MATCH(B48,'Semester 2'!$B$7:$B$64,0),0),{4,3,3,3,4,0})+SUMPRODUCT(INDEX('Semester 3'!$D$7:$N$64,MATCH(B48,'Semester 3'!$B$7:$B$64,0),0),{3,1,2,1,2,2,1,2,1,2,2})+SUMPRODUCT(INDEX('Semester 4'!$D$7:$M$64,MATCH(B48,'Semester 4'!$B$7:$B$64,0),0),{2,1,2,1,2,1,2,3,2,2})+SUMPRODUCT(D48:N48,{2,1,2,1,2,1,2,1,3,3,0}))/88,2),""))</f>
        <v>3.52</v>
      </c>
      <c r="R48" s="4" t="s">
        <v>17</v>
      </c>
    </row>
    <row r="49" spans="1:18" ht="14.25" customHeight="1">
      <c r="A49" s="4">
        <v>43</v>
      </c>
      <c r="B49" s="4" t="s">
        <v>122</v>
      </c>
      <c r="C49" s="5" t="s">
        <v>123</v>
      </c>
      <c r="D49" s="6">
        <v>2.5</v>
      </c>
      <c r="E49" s="6">
        <v>3.3</v>
      </c>
      <c r="F49" s="6">
        <v>2.8</v>
      </c>
      <c r="G49" s="6">
        <v>2.7</v>
      </c>
      <c r="H49" s="6">
        <v>2.9</v>
      </c>
      <c r="I49" s="6">
        <v>2</v>
      </c>
      <c r="J49" s="6">
        <v>3.3</v>
      </c>
      <c r="K49" s="6">
        <v>3.8</v>
      </c>
      <c r="L49" s="6">
        <v>3.5</v>
      </c>
      <c r="M49" s="6">
        <v>4</v>
      </c>
      <c r="N49" s="6">
        <v>4</v>
      </c>
      <c r="O49" s="6">
        <f t="shared" si="0"/>
        <v>3.18</v>
      </c>
      <c r="P49" s="6">
        <f t="array" ref="P49">IF(B49="","",IFERROR(INDEX('Semester 4'!$O$7:$O$62,MATCH(B49,'Semester 4'!$B$7:$B$62,0)),""))</f>
        <v>3.2</v>
      </c>
      <c r="Q49" s="6">
        <f t="array" ref="Q49">IF(B49="","",IFERROR(ROUND((SUMPRODUCT(INDEX('Semester 1'!$D$7:$I$62,MATCH(B49,'Semester 1'!$B$7:$B$62,0),0),{4,3,3,3,3,0})+SUMPRODUCT(INDEX('Semester 2'!$D$7:$I$64,MATCH(B49,'Semester 2'!$B$7:$B$64,0),0),{4,3,3,3,4,0})+SUMPRODUCT(INDEX('Semester 3'!$D$7:$N$64,MATCH(B49,'Semester 3'!$B$7:$B$64,0),0),{3,1,2,1,2,2,1,2,1,2,2})+SUMPRODUCT(INDEX('Semester 4'!$D$7:$M$64,MATCH(B49,'Semester 4'!$B$7:$B$64,0),0),{2,1,2,1,2,1,2,3,2,2})+SUMPRODUCT(D49:N49,{2,1,2,1,2,1,2,1,3,3,0}))/88,2),""))</f>
        <v>3.2</v>
      </c>
      <c r="R49" s="4" t="s">
        <v>17</v>
      </c>
    </row>
    <row r="50" spans="1:18" ht="14.25" customHeight="1">
      <c r="A50" s="4">
        <v>44</v>
      </c>
      <c r="B50" s="4" t="s">
        <v>124</v>
      </c>
      <c r="C50" s="5" t="s">
        <v>125</v>
      </c>
      <c r="D50" s="6">
        <v>2.7</v>
      </c>
      <c r="E50" s="6">
        <v>3.7</v>
      </c>
      <c r="F50" s="6">
        <v>2.8</v>
      </c>
      <c r="G50" s="6">
        <v>2.4</v>
      </c>
      <c r="H50" s="6">
        <v>3.1</v>
      </c>
      <c r="I50" s="6">
        <v>4</v>
      </c>
      <c r="J50" s="6">
        <v>3.3</v>
      </c>
      <c r="K50" s="6">
        <v>4</v>
      </c>
      <c r="L50" s="6">
        <v>4</v>
      </c>
      <c r="M50" s="6">
        <v>3.6</v>
      </c>
      <c r="N50" s="6">
        <v>4</v>
      </c>
      <c r="O50" s="6">
        <f t="shared" si="0"/>
        <v>3.37</v>
      </c>
      <c r="P50" s="6">
        <f t="array" ref="P50">IF(B50="","",IFERROR(INDEX('Semester 4'!$O$7:$O$62,MATCH(B50,'Semester 4'!$B$7:$B$62,0)),""))</f>
        <v>3.56</v>
      </c>
      <c r="Q50" s="6">
        <f t="array" ref="Q50">IF(B50="","",IFERROR(ROUND((SUMPRODUCT(INDEX('Semester 1'!$D$7:$I$62,MATCH(B50,'Semester 1'!$B$7:$B$62,0),0),{4,3,3,3,3,0})+SUMPRODUCT(INDEX('Semester 2'!$D$7:$I$64,MATCH(B50,'Semester 2'!$B$7:$B$64,0),0),{4,3,3,3,4,0})+SUMPRODUCT(INDEX('Semester 3'!$D$7:$N$64,MATCH(B50,'Semester 3'!$B$7:$B$64,0),0),{3,1,2,1,2,2,1,2,1,2,2})+SUMPRODUCT(INDEX('Semester 4'!$D$7:$M$64,MATCH(B50,'Semester 4'!$B$7:$B$64,0),0),{2,1,2,1,2,1,2,3,2,2})+SUMPRODUCT(D50:N50,{2,1,2,1,2,1,2,1,3,3,0}))/88,2),""))</f>
        <v>3.52</v>
      </c>
      <c r="R50" s="4" t="s">
        <v>17</v>
      </c>
    </row>
    <row r="51" spans="1:18" ht="14.25" customHeight="1">
      <c r="A51" s="4">
        <v>45</v>
      </c>
      <c r="B51" s="4" t="s">
        <v>126</v>
      </c>
      <c r="C51" s="5" t="s">
        <v>127</v>
      </c>
      <c r="D51" s="6">
        <v>2.8</v>
      </c>
      <c r="E51" s="6">
        <v>3.3</v>
      </c>
      <c r="F51" s="6">
        <v>3.1</v>
      </c>
      <c r="G51" s="6">
        <v>2.5</v>
      </c>
      <c r="H51" s="6">
        <v>2.7</v>
      </c>
      <c r="I51" s="6">
        <v>3.3</v>
      </c>
      <c r="J51" s="6">
        <v>2.1</v>
      </c>
      <c r="K51" s="6">
        <v>3.6</v>
      </c>
      <c r="L51" s="6">
        <v>3.7</v>
      </c>
      <c r="M51" s="6">
        <v>2.1</v>
      </c>
      <c r="N51" s="6">
        <v>4</v>
      </c>
      <c r="O51" s="6">
        <f t="shared" si="0"/>
        <v>2.86</v>
      </c>
      <c r="P51" s="6">
        <f t="array" ref="P51">IF(B51="","",IFERROR(INDEX('Semester 4'!$O$7:$O$62,MATCH(B51,'Semester 4'!$B$7:$B$62,0)),""))</f>
        <v>2.88</v>
      </c>
      <c r="Q51" s="6">
        <f t="array" ref="Q51">IF(B51="","",IFERROR(ROUND((SUMPRODUCT(INDEX('Semester 1'!$D$7:$I$62,MATCH(B51,'Semester 1'!$B$7:$B$62,0),0),{4,3,3,3,3,0})+SUMPRODUCT(INDEX('Semester 2'!$D$7:$I$64,MATCH(B51,'Semester 2'!$B$7:$B$64,0),0),{4,3,3,3,4,0})+SUMPRODUCT(INDEX('Semester 3'!$D$7:$N$64,MATCH(B51,'Semester 3'!$B$7:$B$64,0),0),{3,1,2,1,2,2,1,2,1,2,2})+SUMPRODUCT(INDEX('Semester 4'!$D$7:$M$64,MATCH(B51,'Semester 4'!$B$7:$B$64,0),0),{2,1,2,1,2,1,2,3,2,2})+SUMPRODUCT(D51:N51,{2,1,2,1,2,1,2,1,3,3,0}))/88,2),""))</f>
        <v>2.88</v>
      </c>
      <c r="R51" s="4" t="s">
        <v>17</v>
      </c>
    </row>
    <row r="52" spans="1:18" ht="14.25" customHeight="1">
      <c r="A52" s="4">
        <v>46</v>
      </c>
      <c r="B52" s="4" t="s">
        <v>128</v>
      </c>
      <c r="C52" s="5" t="s">
        <v>129</v>
      </c>
      <c r="D52" s="6">
        <v>2.8</v>
      </c>
      <c r="E52" s="6">
        <v>3.3</v>
      </c>
      <c r="F52" s="6">
        <v>3</v>
      </c>
      <c r="G52" s="6">
        <v>2.5</v>
      </c>
      <c r="H52" s="6">
        <v>2.6</v>
      </c>
      <c r="I52" s="6">
        <v>2.2999999999999998</v>
      </c>
      <c r="J52" s="6">
        <v>4</v>
      </c>
      <c r="K52" s="6">
        <v>4</v>
      </c>
      <c r="L52" s="6">
        <v>3.7</v>
      </c>
      <c r="M52" s="6">
        <v>3.6</v>
      </c>
      <c r="N52" s="6">
        <v>4</v>
      </c>
      <c r="O52" s="6">
        <f t="shared" si="0"/>
        <v>3.27</v>
      </c>
      <c r="P52" s="6">
        <f t="array" ref="P52">IF(B52="","",IFERROR(INDEX('Semester 4'!$O$7:$O$62,MATCH(B52,'Semester 4'!$B$7:$B$62,0)),""))</f>
        <v>3.08</v>
      </c>
      <c r="Q52" s="6">
        <f t="array" ref="Q52">IF(B52="","",IFERROR(ROUND((SUMPRODUCT(INDEX('Semester 1'!$D$7:$I$62,MATCH(B52,'Semester 1'!$B$7:$B$62,0),0),{4,3,3,3,3,0})+SUMPRODUCT(INDEX('Semester 2'!$D$7:$I$64,MATCH(B52,'Semester 2'!$B$7:$B$64,0),0),{4,3,3,3,4,0})+SUMPRODUCT(INDEX('Semester 3'!$D$7:$N$64,MATCH(B52,'Semester 3'!$B$7:$B$64,0),0),{3,1,2,1,2,2,1,2,1,2,2})+SUMPRODUCT(INDEX('Semester 4'!$D$7:$M$64,MATCH(B52,'Semester 4'!$B$7:$B$64,0),0),{2,1,2,1,2,1,2,3,2,2})+SUMPRODUCT(D52:N52,{2,1,2,1,2,1,2,1,3,3,0}))/88,2),""))</f>
        <v>3.12</v>
      </c>
      <c r="R52" s="4" t="s">
        <v>17</v>
      </c>
    </row>
    <row r="53" spans="1:18" ht="14.25" customHeight="1"/>
    <row r="54" spans="1:18" ht="24" customHeight="1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5"/>
    </row>
    <row r="55" spans="1:18" ht="14.25" customHeight="1"/>
    <row r="56" spans="1:18" ht="14.25" customHeight="1"/>
    <row r="57" spans="1:18" ht="14.25" customHeight="1"/>
    <row r="58" spans="1:18" ht="14.25" customHeight="1"/>
    <row r="59" spans="1:18" ht="14.25" customHeight="1"/>
    <row r="60" spans="1:18" ht="14.25" customHeight="1"/>
    <row r="61" spans="1:18" ht="14.25" customHeight="1"/>
    <row r="62" spans="1:18" ht="14.25" customHeight="1"/>
    <row r="63" spans="1:18" ht="14.25" customHeight="1"/>
    <row r="64" spans="1:1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R1"/>
    <mergeCell ref="A2:R2"/>
    <mergeCell ref="A3:R3"/>
    <mergeCell ref="A4:R4"/>
    <mergeCell ref="A54:R54"/>
  </mergeCells>
  <conditionalFormatting sqref="R7:R52">
    <cfRule type="expression" dxfId="5" priority="1">
      <formula>R7="Dropped"</formula>
    </cfRule>
    <cfRule type="expression" dxfId="4" priority="2">
      <formula>R7="Probation"</formula>
    </cfRule>
    <cfRule type="expression" dxfId="3" priority="3">
      <formula>R7="Promoted"</formula>
    </cfRule>
  </conditionalFormatting>
  <pageMargins left="0.7" right="0.7" top="0.75" bottom="0.75" header="0" footer="0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000"/>
  <sheetViews>
    <sheetView workbookViewId="0"/>
  </sheetViews>
  <sheetFormatPr defaultColWidth="14.44140625" defaultRowHeight="15" customHeight="1"/>
  <cols>
    <col min="1" max="1" width="7.6640625" customWidth="1"/>
    <col min="2" max="2" width="21.109375" customWidth="1"/>
    <col min="3" max="3" width="28.88671875" customWidth="1"/>
    <col min="4" max="9" width="11.6640625" customWidth="1"/>
    <col min="10" max="11" width="11.88671875" customWidth="1"/>
    <col min="12" max="12" width="11.6640625" customWidth="1"/>
    <col min="13" max="14" width="6.6640625" customWidth="1"/>
    <col min="15" max="15" width="9.6640625" customWidth="1"/>
    <col min="16" max="16" width="7.6640625" customWidth="1"/>
    <col min="17" max="26" width="8.6640625" customWidth="1"/>
  </cols>
  <sheetData>
    <row r="1" spans="1:18" ht="20.2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</row>
    <row r="2" spans="1:18" ht="14.25" customHeight="1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</row>
    <row r="3" spans="1:18" ht="14.25" customHeight="1">
      <c r="A3" s="1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spans="1:18" ht="14.25" customHeight="1">
      <c r="A4" s="12" t="s">
        <v>182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spans="1:18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8" ht="25.5" customHeight="1">
      <c r="A6" s="2" t="s">
        <v>4</v>
      </c>
      <c r="B6" s="2" t="s">
        <v>5</v>
      </c>
      <c r="C6" s="2" t="s">
        <v>6</v>
      </c>
      <c r="D6" s="2" t="s">
        <v>183</v>
      </c>
      <c r="E6" s="2" t="s">
        <v>184</v>
      </c>
      <c r="F6" s="2" t="s">
        <v>185</v>
      </c>
      <c r="G6" s="2" t="s">
        <v>186</v>
      </c>
      <c r="H6" s="2" t="s">
        <v>187</v>
      </c>
      <c r="I6" s="2" t="s">
        <v>188</v>
      </c>
      <c r="J6" s="2" t="s">
        <v>189</v>
      </c>
      <c r="K6" s="2" t="s">
        <v>190</v>
      </c>
      <c r="L6" s="2" t="s">
        <v>191</v>
      </c>
      <c r="M6" s="2" t="s">
        <v>13</v>
      </c>
      <c r="N6" s="2" t="s">
        <v>137</v>
      </c>
      <c r="O6" s="2" t="s">
        <v>14</v>
      </c>
      <c r="P6" s="2" t="s">
        <v>192</v>
      </c>
      <c r="Q6" s="3"/>
      <c r="R6" s="3"/>
    </row>
    <row r="7" spans="1:18" ht="14.25" customHeight="1">
      <c r="A7" s="4">
        <v>1</v>
      </c>
      <c r="B7" s="4" t="s">
        <v>15</v>
      </c>
      <c r="C7" s="5" t="s">
        <v>16</v>
      </c>
      <c r="D7" s="6">
        <v>3.1</v>
      </c>
      <c r="E7" s="6">
        <v>3</v>
      </c>
      <c r="F7" s="6">
        <v>3.7</v>
      </c>
      <c r="G7" s="6">
        <v>3.5</v>
      </c>
      <c r="H7" s="6">
        <v>4</v>
      </c>
      <c r="I7" s="6">
        <v>4</v>
      </c>
      <c r="J7" s="6">
        <v>3.1</v>
      </c>
      <c r="K7" s="6">
        <v>3.1</v>
      </c>
      <c r="L7" s="6">
        <v>3.7</v>
      </c>
      <c r="M7" s="6">
        <f t="shared" ref="M7:M62" si="0">IF(B7="","",ROUND(SUMPRODUCT(D7:L7,{2,1,2,1,2,1,3,3,3})/18,2))</f>
        <v>3.43</v>
      </c>
      <c r="N7" s="6">
        <f t="array" ref="N7">IF(B7="","",ROUND((IFERROR(SUMPRODUCT(INDEX('Semester 1'!$D$7:$I$62,MATCH(B7,'Semester 1'!$B$7:$B$62,0),0),{4,3,3,3,3,0}),0)+IFERROR(SUMPRODUCT(INDEX('Semester 2'!$D$7:$I$64,MATCH(B7,'Semester 2'!$B$7:$B$64,0),0),{4,3,3,3,4,0}),0)+IFERROR(SUMPRODUCT(INDEX('Semester 3'!$D$7:$N$64,MATCH(B7,'Semester 3'!$B$7:$B$64,0),0),{3,1,2,1,2,2,1,2,1,2,2}),0)+IFERROR(SUMPRODUCT(INDEX('Semester 4'!$D$7:$M$64,MATCH(B7,'Semester 4'!$B$7:$B$64,0),0),{2,1,2,1,2,1,2,3,2,2}),0)+IFERROR(SUMPRODUCT(INDEX('Semester 5'!$D$7:$N$54,MATCH(B7,'Semester 5'!$B$7:$B$54,0),0),{2,1,2,1,2,1,2,1,3,2,0}),0)+SUMPRODUCT(D7:L7,{2,1,2,1,2,1,3,3,3}))/105,2))</f>
        <v>3.53</v>
      </c>
      <c r="O7" s="4" t="str">
        <f t="shared" ref="O7:O22" si="1">IF(AND(N7&gt;=2,N7&lt;=4),"Promoted","Dropped")</f>
        <v>Promoted</v>
      </c>
      <c r="P7" s="8"/>
    </row>
    <row r="8" spans="1:18" ht="14.25" customHeight="1">
      <c r="A8" s="4">
        <v>2</v>
      </c>
      <c r="B8" s="4" t="s">
        <v>18</v>
      </c>
      <c r="C8" s="5" t="s">
        <v>19</v>
      </c>
      <c r="D8" s="6">
        <v>4</v>
      </c>
      <c r="E8" s="6">
        <v>3.7</v>
      </c>
      <c r="F8" s="6">
        <v>4</v>
      </c>
      <c r="G8" s="6">
        <v>4</v>
      </c>
      <c r="H8" s="6">
        <v>4</v>
      </c>
      <c r="I8" s="6">
        <v>4</v>
      </c>
      <c r="J8" s="6">
        <v>4</v>
      </c>
      <c r="K8" s="6">
        <v>3.3</v>
      </c>
      <c r="L8" s="6">
        <v>4</v>
      </c>
      <c r="M8" s="6">
        <f t="shared" si="0"/>
        <v>3.87</v>
      </c>
      <c r="N8" s="6">
        <f t="array" ref="N8">IF(B8="","",ROUND((IFERROR(SUMPRODUCT(INDEX('Semester 1'!$D$7:$I$62,MATCH(B8,'Semester 1'!$B$7:$B$62,0),0),{4,3,3,3,3,0}),0)+IFERROR(SUMPRODUCT(INDEX('Semester 2'!$D$7:$I$64,MATCH(B8,'Semester 2'!$B$7:$B$64,0),0),{4,3,3,3,4,0}),0)+IFERROR(SUMPRODUCT(INDEX('Semester 3'!$D$7:$N$64,MATCH(B8,'Semester 3'!$B$7:$B$64,0),0),{3,1,2,1,2,2,1,2,1,2,2}),0)+IFERROR(SUMPRODUCT(INDEX('Semester 4'!$D$7:$M$64,MATCH(B8,'Semester 4'!$B$7:$B$64,0),0),{2,1,2,1,2,1,2,3,2,2}),0)+IFERROR(SUMPRODUCT(INDEX('Semester 5'!$D$7:$N$54,MATCH(B8,'Semester 5'!$B$7:$B$54,0),0),{2,1,2,1,2,1,2,1,3,2,0}),0)+SUMPRODUCT(D8:L8,{2,1,2,1,2,1,3,3,3}))/105,2))</f>
        <v>3.73</v>
      </c>
      <c r="O8" s="4" t="str">
        <f t="shared" si="1"/>
        <v>Promoted</v>
      </c>
      <c r="P8" s="8"/>
    </row>
    <row r="9" spans="1:18" ht="14.25" customHeight="1">
      <c r="A9" s="4">
        <v>3</v>
      </c>
      <c r="B9" s="4" t="s">
        <v>20</v>
      </c>
      <c r="C9" s="5" t="s">
        <v>21</v>
      </c>
      <c r="D9" s="6">
        <v>3.2</v>
      </c>
      <c r="E9" s="6">
        <v>3</v>
      </c>
      <c r="F9" s="6">
        <v>3.9</v>
      </c>
      <c r="G9" s="6">
        <v>3.3</v>
      </c>
      <c r="H9" s="6">
        <v>4</v>
      </c>
      <c r="I9" s="6">
        <v>4</v>
      </c>
      <c r="J9" s="6">
        <v>4</v>
      </c>
      <c r="K9" s="6">
        <v>2.5</v>
      </c>
      <c r="L9" s="6">
        <v>3.6</v>
      </c>
      <c r="M9" s="6">
        <f t="shared" si="0"/>
        <v>3.49</v>
      </c>
      <c r="N9" s="6">
        <f t="array" ref="N9">IF(B9="","",ROUND((IFERROR(SUMPRODUCT(INDEX('Semester 1'!$D$7:$I$62,MATCH(B9,'Semester 1'!$B$7:$B$62,0),0),{4,3,3,3,3,0}),0)+IFERROR(SUMPRODUCT(INDEX('Semester 2'!$D$7:$I$64,MATCH(B9,'Semester 2'!$B$7:$B$64,0),0),{4,3,3,3,4,0}),0)+IFERROR(SUMPRODUCT(INDEX('Semester 3'!$D$7:$N$64,MATCH(B9,'Semester 3'!$B$7:$B$64,0),0),{3,1,2,1,2,2,1,2,1,2,2}),0)+IFERROR(SUMPRODUCT(INDEX('Semester 4'!$D$7:$M$64,MATCH(B9,'Semester 4'!$B$7:$B$64,0),0),{2,1,2,1,2,1,2,3,2,2}),0)+IFERROR(SUMPRODUCT(INDEX('Semester 5'!$D$7:$N$54,MATCH(B9,'Semester 5'!$B$7:$B$54,0),0),{2,1,2,1,2,1,2,1,3,2,0}),0)+SUMPRODUCT(D9:L9,{2,1,2,1,2,1,3,3,3}))/105,2))</f>
        <v>3.69</v>
      </c>
      <c r="O9" s="4" t="str">
        <f t="shared" si="1"/>
        <v>Promoted</v>
      </c>
      <c r="P9" s="8"/>
    </row>
    <row r="10" spans="1:18" ht="14.25" customHeight="1">
      <c r="A10" s="4">
        <v>4</v>
      </c>
      <c r="B10" s="4" t="s">
        <v>22</v>
      </c>
      <c r="C10" s="5" t="s">
        <v>23</v>
      </c>
      <c r="D10" s="6">
        <v>3.5</v>
      </c>
      <c r="E10" s="6">
        <v>3.4</v>
      </c>
      <c r="F10" s="6">
        <v>3.3</v>
      </c>
      <c r="G10" s="6">
        <v>3.8</v>
      </c>
      <c r="H10" s="6">
        <v>3.9</v>
      </c>
      <c r="I10" s="6">
        <v>4</v>
      </c>
      <c r="J10" s="6">
        <v>3.1</v>
      </c>
      <c r="K10" s="6">
        <v>4</v>
      </c>
      <c r="L10" s="6">
        <v>4</v>
      </c>
      <c r="M10" s="6">
        <f t="shared" si="0"/>
        <v>3.66</v>
      </c>
      <c r="N10" s="6">
        <f t="array" ref="N10">IF(B10="","",ROUND((IFERROR(SUMPRODUCT(INDEX('Semester 1'!$D$7:$I$62,MATCH(B10,'Semester 1'!$B$7:$B$62,0),0),{4,3,3,3,3,0}),0)+IFERROR(SUMPRODUCT(INDEX('Semester 2'!$D$7:$I$64,MATCH(B10,'Semester 2'!$B$7:$B$64,0),0),{4,3,3,3,4,0}),0)+IFERROR(SUMPRODUCT(INDEX('Semester 3'!$D$7:$N$64,MATCH(B10,'Semester 3'!$B$7:$B$64,0),0),{3,1,2,1,2,2,1,2,1,2,2}),0)+IFERROR(SUMPRODUCT(INDEX('Semester 4'!$D$7:$M$64,MATCH(B10,'Semester 4'!$B$7:$B$64,0),0),{2,1,2,1,2,1,2,3,2,2}),0)+IFERROR(SUMPRODUCT(INDEX('Semester 5'!$D$7:$N$54,MATCH(B10,'Semester 5'!$B$7:$B$54,0),0),{2,1,2,1,2,1,2,1,3,2,0}),0)+SUMPRODUCT(D10:L10,{2,1,2,1,2,1,3,3,3}))/105,2))</f>
        <v>3.45</v>
      </c>
      <c r="O10" s="4" t="str">
        <f t="shared" si="1"/>
        <v>Promoted</v>
      </c>
      <c r="P10" s="8"/>
    </row>
    <row r="11" spans="1:18" ht="14.25" customHeight="1">
      <c r="A11" s="4">
        <v>5</v>
      </c>
      <c r="B11" s="4" t="s">
        <v>24</v>
      </c>
      <c r="C11" s="5" t="s">
        <v>25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f t="shared" si="0"/>
        <v>0</v>
      </c>
      <c r="N11" s="6">
        <f t="array" ref="N11">IF(B11="","",ROUND((IFERROR(SUMPRODUCT(INDEX('Semester 1'!$D$7:$I$62,MATCH(B11,'Semester 1'!$B$7:$B$62,0),0),{4,3,3,3,3,0}),0)+IFERROR(SUMPRODUCT(INDEX('Semester 2'!$D$7:$I$64,MATCH(B11,'Semester 2'!$B$7:$B$64,0),0),{4,3,3,3,4,0}),0)+IFERROR(SUMPRODUCT(INDEX('Semester 3'!$D$7:$N$64,MATCH(B11,'Semester 3'!$B$7:$B$64,0),0),{3,1,2,1,2,2,1,2,1,2,2}),0)+IFERROR(SUMPRODUCT(INDEX('Semester 4'!$D$7:$M$64,MATCH(B11,'Semester 4'!$B$7:$B$64,0),0),{2,1,2,1,2,1,2,3,2,2}),0)+IFERROR(SUMPRODUCT(INDEX('Semester 5'!$D$7:$N$54,MATCH(B11,'Semester 5'!$B$7:$B$54,0),0),{2,1,2,1,2,1,2,1,3,2,0}),0)+SUMPRODUCT(D11:L11,{2,1,2,1,2,1,3,3,3}))/105,2))</f>
        <v>0.52</v>
      </c>
      <c r="O11" s="4" t="str">
        <f t="shared" si="1"/>
        <v>Dropped</v>
      </c>
      <c r="P11" s="8"/>
    </row>
    <row r="12" spans="1:18" ht="14.25" customHeight="1">
      <c r="A12" s="4">
        <v>6</v>
      </c>
      <c r="B12" s="4" t="s">
        <v>26</v>
      </c>
      <c r="C12" s="5" t="s">
        <v>27</v>
      </c>
      <c r="D12" s="6">
        <v>3</v>
      </c>
      <c r="E12" s="6">
        <v>2.9</v>
      </c>
      <c r="F12" s="6">
        <v>3.1</v>
      </c>
      <c r="G12" s="6">
        <v>3.5</v>
      </c>
      <c r="H12" s="6">
        <v>4</v>
      </c>
      <c r="I12" s="6">
        <v>4</v>
      </c>
      <c r="J12" s="6">
        <v>2.9</v>
      </c>
      <c r="K12" s="6">
        <v>2</v>
      </c>
      <c r="L12" s="6">
        <v>2.4</v>
      </c>
      <c r="M12" s="6">
        <f t="shared" si="0"/>
        <v>2.92</v>
      </c>
      <c r="N12" s="6">
        <f t="array" ref="N12">IF(B12="","",ROUND((IFERROR(SUMPRODUCT(INDEX('Semester 1'!$D$7:$I$62,MATCH(B12,'Semester 1'!$B$7:$B$62,0),0),{4,3,3,3,3,0}),0)+IFERROR(SUMPRODUCT(INDEX('Semester 2'!$D$7:$I$64,MATCH(B12,'Semester 2'!$B$7:$B$64,0),0),{4,3,3,3,4,0}),0)+IFERROR(SUMPRODUCT(INDEX('Semester 3'!$D$7:$N$64,MATCH(B12,'Semester 3'!$B$7:$B$64,0),0),{3,1,2,1,2,2,1,2,1,2,2}),0)+IFERROR(SUMPRODUCT(INDEX('Semester 4'!$D$7:$M$64,MATCH(B12,'Semester 4'!$B$7:$B$64,0),0),{2,1,2,1,2,1,2,3,2,2}),0)+IFERROR(SUMPRODUCT(INDEX('Semester 5'!$D$7:$N$54,MATCH(B12,'Semester 5'!$B$7:$B$54,0),0),{2,1,2,1,2,1,2,1,3,2,0}),0)+SUMPRODUCT(D12:L12,{2,1,2,1,2,1,3,3,3}))/105,2))</f>
        <v>3.06</v>
      </c>
      <c r="O12" s="4" t="str">
        <f t="shared" si="1"/>
        <v>Promoted</v>
      </c>
      <c r="P12" s="8"/>
    </row>
    <row r="13" spans="1:18" ht="14.25" customHeight="1">
      <c r="A13" s="4">
        <v>7</v>
      </c>
      <c r="B13" s="4" t="s">
        <v>28</v>
      </c>
      <c r="C13" s="5" t="s">
        <v>29</v>
      </c>
      <c r="D13" s="6">
        <v>3.7</v>
      </c>
      <c r="E13" s="6">
        <v>3.5</v>
      </c>
      <c r="F13" s="6">
        <v>3.9</v>
      </c>
      <c r="G13" s="6">
        <v>4</v>
      </c>
      <c r="H13" s="6">
        <v>4</v>
      </c>
      <c r="I13" s="6">
        <v>4</v>
      </c>
      <c r="J13" s="6">
        <v>4</v>
      </c>
      <c r="K13" s="6">
        <v>4</v>
      </c>
      <c r="L13" s="6">
        <v>4</v>
      </c>
      <c r="M13" s="6">
        <f t="shared" si="0"/>
        <v>3.93</v>
      </c>
      <c r="N13" s="6">
        <f t="array" ref="N13">IF(B13="","",ROUND((IFERROR(SUMPRODUCT(INDEX('Semester 1'!$D$7:$I$62,MATCH(B13,'Semester 1'!$B$7:$B$62,0),0),{4,3,3,3,3,0}),0)+IFERROR(SUMPRODUCT(INDEX('Semester 2'!$D$7:$I$64,MATCH(B13,'Semester 2'!$B$7:$B$64,0),0),{4,3,3,3,4,0}),0)+IFERROR(SUMPRODUCT(INDEX('Semester 3'!$D$7:$N$64,MATCH(B13,'Semester 3'!$B$7:$B$64,0),0),{3,1,2,1,2,2,1,2,1,2,2}),0)+IFERROR(SUMPRODUCT(INDEX('Semester 4'!$D$7:$M$64,MATCH(B13,'Semester 4'!$B$7:$B$64,0),0),{2,1,2,1,2,1,2,3,2,2}),0)+IFERROR(SUMPRODUCT(INDEX('Semester 5'!$D$7:$N$54,MATCH(B13,'Semester 5'!$B$7:$B$54,0),0),{2,1,2,1,2,1,2,1,3,2,0}),0)+SUMPRODUCT(D13:L13,{2,1,2,1,2,1,3,3,3}))/105,2))</f>
        <v>3.73</v>
      </c>
      <c r="O13" s="4" t="str">
        <f t="shared" si="1"/>
        <v>Promoted</v>
      </c>
      <c r="P13" s="8"/>
    </row>
    <row r="14" spans="1:18" ht="14.25" customHeight="1">
      <c r="A14" s="4">
        <v>8</v>
      </c>
      <c r="B14" s="4" t="s">
        <v>30</v>
      </c>
      <c r="C14" s="5" t="s">
        <v>31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f t="shared" si="0"/>
        <v>0</v>
      </c>
      <c r="N14" s="6">
        <f t="array" ref="N14">IF(B14="","",ROUND((IFERROR(SUMPRODUCT(INDEX('Semester 1'!$D$7:$I$62,MATCH(B14,'Semester 1'!$B$7:$B$62,0),0),{4,3,3,3,3,0}),0)+IFERROR(SUMPRODUCT(INDEX('Semester 2'!$D$7:$I$64,MATCH(B14,'Semester 2'!$B$7:$B$64,0),0),{4,3,3,3,4,0}),0)+IFERROR(SUMPRODUCT(INDEX('Semester 3'!$D$7:$N$64,MATCH(B14,'Semester 3'!$B$7:$B$64,0),0),{3,1,2,1,2,2,1,2,1,2,2}),0)+IFERROR(SUMPRODUCT(INDEX('Semester 4'!$D$7:$M$64,MATCH(B14,'Semester 4'!$B$7:$B$64,0),0),{2,1,2,1,2,1,2,3,2,2}),0)+IFERROR(SUMPRODUCT(INDEX('Semester 5'!$D$7:$N$54,MATCH(B14,'Semester 5'!$B$7:$B$54,0),0),{2,1,2,1,2,1,2,1,3,2,0}),0)+SUMPRODUCT(D14:L14,{2,1,2,1,2,1,3,3,3}))/105,2))</f>
        <v>0.38</v>
      </c>
      <c r="O14" s="4" t="str">
        <f t="shared" si="1"/>
        <v>Dropped</v>
      </c>
      <c r="P14" s="8"/>
    </row>
    <row r="15" spans="1:18" ht="14.25" customHeight="1">
      <c r="A15" s="4">
        <v>9</v>
      </c>
      <c r="B15" s="4" t="s">
        <v>33</v>
      </c>
      <c r="C15" s="5" t="s">
        <v>34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f t="shared" si="0"/>
        <v>0</v>
      </c>
      <c r="N15" s="6">
        <f t="array" ref="N15">IF(B15="","",ROUND((IFERROR(SUMPRODUCT(INDEX('Semester 1'!$D$7:$I$62,MATCH(B15,'Semester 1'!$B$7:$B$62,0),0),{4,3,3,3,3,0}),0)+IFERROR(SUMPRODUCT(INDEX('Semester 2'!$D$7:$I$64,MATCH(B15,'Semester 2'!$B$7:$B$64,0),0),{4,3,3,3,4,0}),0)+IFERROR(SUMPRODUCT(INDEX('Semester 3'!$D$7:$N$64,MATCH(B15,'Semester 3'!$B$7:$B$64,0),0),{3,1,2,1,2,2,1,2,1,2,2}),0)+IFERROR(SUMPRODUCT(INDEX('Semester 4'!$D$7:$M$64,MATCH(B15,'Semester 4'!$B$7:$B$64,0),0),{2,1,2,1,2,1,2,3,2,2}),0)+IFERROR(SUMPRODUCT(INDEX('Semester 5'!$D$7:$N$54,MATCH(B15,'Semester 5'!$B$7:$B$54,0),0),{2,1,2,1,2,1,2,1,3,2,0}),0)+SUMPRODUCT(D15:L15,{2,1,2,1,2,1,3,3,3}))/105,2))</f>
        <v>2.16</v>
      </c>
      <c r="O15" s="4" t="str">
        <f t="shared" si="1"/>
        <v>Promoted</v>
      </c>
      <c r="P15" s="8"/>
    </row>
    <row r="16" spans="1:18" ht="14.25" customHeight="1">
      <c r="A16" s="4">
        <v>10</v>
      </c>
      <c r="B16" s="4" t="s">
        <v>35</v>
      </c>
      <c r="C16" s="5" t="s">
        <v>36</v>
      </c>
      <c r="D16" s="6">
        <v>4</v>
      </c>
      <c r="E16" s="6">
        <v>3.7</v>
      </c>
      <c r="F16" s="6">
        <v>4</v>
      </c>
      <c r="G16" s="6">
        <v>3.9</v>
      </c>
      <c r="H16" s="6">
        <v>4</v>
      </c>
      <c r="I16" s="6">
        <v>4</v>
      </c>
      <c r="J16" s="6">
        <v>4</v>
      </c>
      <c r="K16" s="6">
        <v>2.2999999999999998</v>
      </c>
      <c r="L16" s="6">
        <v>4</v>
      </c>
      <c r="M16" s="6">
        <f t="shared" si="0"/>
        <v>3.69</v>
      </c>
      <c r="N16" s="6">
        <f t="array" ref="N16">IF(B16="","",ROUND((IFERROR(SUMPRODUCT(INDEX('Semester 1'!$D$7:$I$62,MATCH(B16,'Semester 1'!$B$7:$B$62,0),0),{4,3,3,3,3,0}),0)+IFERROR(SUMPRODUCT(INDEX('Semester 2'!$D$7:$I$64,MATCH(B16,'Semester 2'!$B$7:$B$64,0),0),{4,3,3,3,4,0}),0)+IFERROR(SUMPRODUCT(INDEX('Semester 3'!$D$7:$N$64,MATCH(B16,'Semester 3'!$B$7:$B$64,0),0),{3,1,2,1,2,2,1,2,1,2,2}),0)+IFERROR(SUMPRODUCT(INDEX('Semester 4'!$D$7:$M$64,MATCH(B16,'Semester 4'!$B$7:$B$64,0),0),{2,1,2,1,2,1,2,3,2,2}),0)+IFERROR(SUMPRODUCT(INDEX('Semester 5'!$D$7:$N$54,MATCH(B16,'Semester 5'!$B$7:$B$54,0),0),{2,1,2,1,2,1,2,1,3,2,0}),0)+SUMPRODUCT(D16:L16,{2,1,2,1,2,1,3,3,3}))/105,2))</f>
        <v>3.61</v>
      </c>
      <c r="O16" s="4" t="str">
        <f t="shared" si="1"/>
        <v>Promoted</v>
      </c>
      <c r="P16" s="8"/>
    </row>
    <row r="17" spans="1:16" ht="14.25" customHeight="1">
      <c r="A17" s="4">
        <v>11</v>
      </c>
      <c r="B17" s="4" t="s">
        <v>37</v>
      </c>
      <c r="C17" s="5" t="s">
        <v>38</v>
      </c>
      <c r="D17" s="6">
        <v>3.5</v>
      </c>
      <c r="E17" s="6">
        <v>3.3</v>
      </c>
      <c r="F17" s="6">
        <v>3.9</v>
      </c>
      <c r="G17" s="6">
        <v>3.7</v>
      </c>
      <c r="H17" s="6">
        <v>4</v>
      </c>
      <c r="I17" s="6">
        <v>4</v>
      </c>
      <c r="J17" s="6">
        <v>4</v>
      </c>
      <c r="K17" s="6">
        <v>2.1</v>
      </c>
      <c r="L17" s="6">
        <v>4</v>
      </c>
      <c r="M17" s="6">
        <f t="shared" si="0"/>
        <v>3.56</v>
      </c>
      <c r="N17" s="6">
        <f t="array" ref="N17">IF(B17="","",ROUND((IFERROR(SUMPRODUCT(INDEX('Semester 1'!$D$7:$I$62,MATCH(B17,'Semester 1'!$B$7:$B$62,0),0),{4,3,3,3,3,0}),0)+IFERROR(SUMPRODUCT(INDEX('Semester 2'!$D$7:$I$64,MATCH(B17,'Semester 2'!$B$7:$B$64,0),0),{4,3,3,3,4,0}),0)+IFERROR(SUMPRODUCT(INDEX('Semester 3'!$D$7:$N$64,MATCH(B17,'Semester 3'!$B$7:$B$64,0),0),{3,1,2,1,2,2,1,2,1,2,2}),0)+IFERROR(SUMPRODUCT(INDEX('Semester 4'!$D$7:$M$64,MATCH(B17,'Semester 4'!$B$7:$B$64,0),0),{2,1,2,1,2,1,2,3,2,2}),0)+IFERROR(SUMPRODUCT(INDEX('Semester 5'!$D$7:$N$54,MATCH(B17,'Semester 5'!$B$7:$B$54,0),0),{2,1,2,1,2,1,2,1,3,2,0}),0)+SUMPRODUCT(D17:L17,{2,1,2,1,2,1,3,3,3}))/105,2))</f>
        <v>3.3</v>
      </c>
      <c r="O17" s="4" t="str">
        <f t="shared" si="1"/>
        <v>Promoted</v>
      </c>
      <c r="P17" s="8"/>
    </row>
    <row r="18" spans="1:16" ht="14.25" customHeight="1">
      <c r="A18" s="4">
        <v>12</v>
      </c>
      <c r="B18" s="4" t="s">
        <v>39</v>
      </c>
      <c r="C18" s="5" t="s">
        <v>40</v>
      </c>
      <c r="D18" s="6">
        <v>4</v>
      </c>
      <c r="E18" s="6">
        <v>3.8</v>
      </c>
      <c r="F18" s="6">
        <v>3.6</v>
      </c>
      <c r="G18" s="6">
        <v>3.3</v>
      </c>
      <c r="H18" s="6">
        <v>4</v>
      </c>
      <c r="I18" s="6">
        <v>4</v>
      </c>
      <c r="J18" s="6">
        <v>3.6</v>
      </c>
      <c r="K18" s="6">
        <v>4</v>
      </c>
      <c r="L18" s="6">
        <v>3.6</v>
      </c>
      <c r="M18" s="6">
        <f t="shared" si="0"/>
        <v>3.77</v>
      </c>
      <c r="N18" s="6">
        <f t="array" ref="N18">IF(B18="","",ROUND((IFERROR(SUMPRODUCT(INDEX('Semester 1'!$D$7:$I$62,MATCH(B18,'Semester 1'!$B$7:$B$62,0),0),{4,3,3,3,3,0}),0)+IFERROR(SUMPRODUCT(INDEX('Semester 2'!$D$7:$I$64,MATCH(B18,'Semester 2'!$B$7:$B$64,0),0),{4,3,3,3,4,0}),0)+IFERROR(SUMPRODUCT(INDEX('Semester 3'!$D$7:$N$64,MATCH(B18,'Semester 3'!$B$7:$B$64,0),0),{3,1,2,1,2,2,1,2,1,2,2}),0)+IFERROR(SUMPRODUCT(INDEX('Semester 4'!$D$7:$M$64,MATCH(B18,'Semester 4'!$B$7:$B$64,0),0),{2,1,2,1,2,1,2,3,2,2}),0)+IFERROR(SUMPRODUCT(INDEX('Semester 5'!$D$7:$N$54,MATCH(B18,'Semester 5'!$B$7:$B$54,0),0),{2,1,2,1,2,1,2,1,3,2,0}),0)+SUMPRODUCT(D18:L18,{2,1,2,1,2,1,3,3,3}))/105,2))</f>
        <v>3.75</v>
      </c>
      <c r="O18" s="4" t="str">
        <f t="shared" si="1"/>
        <v>Promoted</v>
      </c>
      <c r="P18" s="8"/>
    </row>
    <row r="19" spans="1:16" ht="14.25" customHeight="1">
      <c r="A19" s="4">
        <v>13</v>
      </c>
      <c r="B19" s="4" t="s">
        <v>41</v>
      </c>
      <c r="C19" s="5" t="s">
        <v>42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f t="shared" si="0"/>
        <v>0</v>
      </c>
      <c r="N19" s="6">
        <f t="array" ref="N19">IF(B19="","",ROUND((IFERROR(SUMPRODUCT(INDEX('Semester 1'!$D$7:$I$62,MATCH(B19,'Semester 1'!$B$7:$B$62,0),0),{4,3,3,3,3,0}),0)+IFERROR(SUMPRODUCT(INDEX('Semester 2'!$D$7:$I$64,MATCH(B19,'Semester 2'!$B$7:$B$64,0),0),{4,3,3,3,4,0}),0)+IFERROR(SUMPRODUCT(INDEX('Semester 3'!$D$7:$N$64,MATCH(B19,'Semester 3'!$B$7:$B$64,0),0),{3,1,2,1,2,2,1,2,1,2,2}),0)+IFERROR(SUMPRODUCT(INDEX('Semester 4'!$D$7:$M$64,MATCH(B19,'Semester 4'!$B$7:$B$64,0),0),{2,1,2,1,2,1,2,3,2,2}),0)+IFERROR(SUMPRODUCT(INDEX('Semester 5'!$D$7:$N$54,MATCH(B19,'Semester 5'!$B$7:$B$54,0),0),{2,1,2,1,2,1,2,1,3,2,0}),0)+SUMPRODUCT(D19:L19,{2,1,2,1,2,1,3,3,3}))/105,2))</f>
        <v>0.2</v>
      </c>
      <c r="O19" s="4" t="str">
        <f t="shared" si="1"/>
        <v>Dropped</v>
      </c>
      <c r="P19" s="8"/>
    </row>
    <row r="20" spans="1:16" ht="14.25" customHeight="1">
      <c r="A20" s="4">
        <v>14</v>
      </c>
      <c r="B20" s="4" t="s">
        <v>44</v>
      </c>
      <c r="C20" s="5" t="s">
        <v>45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f t="shared" si="0"/>
        <v>0</v>
      </c>
      <c r="N20" s="6">
        <f t="array" ref="N20">IF(B20="","",ROUND((IFERROR(SUMPRODUCT(INDEX('Semester 1'!$D$7:$I$62,MATCH(B20,'Semester 1'!$B$7:$B$62,0),0),{4,3,3,3,3,0}),0)+IFERROR(SUMPRODUCT(INDEX('Semester 2'!$D$7:$I$64,MATCH(B20,'Semester 2'!$B$7:$B$64,0),0),{4,3,3,3,4,0}),0)+IFERROR(SUMPRODUCT(INDEX('Semester 3'!$D$7:$N$64,MATCH(B20,'Semester 3'!$B$7:$B$64,0),0),{3,1,2,1,2,2,1,2,1,2,2}),0)+IFERROR(SUMPRODUCT(INDEX('Semester 4'!$D$7:$M$64,MATCH(B20,'Semester 4'!$B$7:$B$64,0),0),{2,1,2,1,2,1,2,3,2,2}),0)+IFERROR(SUMPRODUCT(INDEX('Semester 5'!$D$7:$N$54,MATCH(B20,'Semester 5'!$B$7:$B$54,0),0),{2,1,2,1,2,1,2,1,3,2,0}),0)+SUMPRODUCT(D20:L20,{2,1,2,1,2,1,3,3,3}))/105,2))</f>
        <v>0</v>
      </c>
      <c r="O20" s="4" t="str">
        <f t="shared" si="1"/>
        <v>Dropped</v>
      </c>
      <c r="P20" s="8"/>
    </row>
    <row r="21" spans="1:16" ht="14.25" customHeight="1">
      <c r="A21" s="4">
        <v>15</v>
      </c>
      <c r="B21" s="4" t="s">
        <v>46</v>
      </c>
      <c r="C21" s="5" t="s">
        <v>47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f t="shared" si="0"/>
        <v>0</v>
      </c>
      <c r="N21" s="6">
        <f t="array" ref="N21">IF(B21="","",ROUND((IFERROR(SUMPRODUCT(INDEX('Semester 1'!$D$7:$I$62,MATCH(B21,'Semester 1'!$B$7:$B$62,0),0),{4,3,3,3,3,0}),0)+IFERROR(SUMPRODUCT(INDEX('Semester 2'!$D$7:$I$64,MATCH(B21,'Semester 2'!$B$7:$B$64,0),0),{4,3,3,3,4,0}),0)+IFERROR(SUMPRODUCT(INDEX('Semester 3'!$D$7:$N$64,MATCH(B21,'Semester 3'!$B$7:$B$64,0),0),{3,1,2,1,2,2,1,2,1,2,2}),0)+IFERROR(SUMPRODUCT(INDEX('Semester 4'!$D$7:$M$64,MATCH(B21,'Semester 4'!$B$7:$B$64,0),0),{2,1,2,1,2,1,2,3,2,2}),0)+IFERROR(SUMPRODUCT(INDEX('Semester 5'!$D$7:$N$54,MATCH(B21,'Semester 5'!$B$7:$B$54,0),0),{2,1,2,1,2,1,2,1,3,2,0}),0)+SUMPRODUCT(D21:L21,{2,1,2,1,2,1,3,3,3}))/105,2))</f>
        <v>0</v>
      </c>
      <c r="O21" s="4" t="str">
        <f t="shared" si="1"/>
        <v>Dropped</v>
      </c>
      <c r="P21" s="8"/>
    </row>
    <row r="22" spans="1:16" ht="14.25" customHeight="1">
      <c r="A22" s="4">
        <v>16</v>
      </c>
      <c r="B22" s="4" t="s">
        <v>48</v>
      </c>
      <c r="C22" s="5" t="s">
        <v>49</v>
      </c>
      <c r="D22" s="6">
        <v>3.3</v>
      </c>
      <c r="E22" s="6">
        <v>3.1</v>
      </c>
      <c r="F22" s="6">
        <v>3.9</v>
      </c>
      <c r="G22" s="6">
        <v>3.7</v>
      </c>
      <c r="H22" s="6">
        <v>4</v>
      </c>
      <c r="I22" s="6">
        <v>4</v>
      </c>
      <c r="J22" s="6">
        <v>4</v>
      </c>
      <c r="K22" s="6">
        <v>2</v>
      </c>
      <c r="L22" s="6">
        <v>3.4</v>
      </c>
      <c r="M22" s="6">
        <f t="shared" si="0"/>
        <v>3.41</v>
      </c>
      <c r="N22" s="6">
        <f t="array" ref="N22">IF(B22="","",ROUND((IFERROR(SUMPRODUCT(INDEX('Semester 1'!$D$7:$I$62,MATCH(B22,'Semester 1'!$B$7:$B$62,0),0),{4,3,3,3,3,0}),0)+IFERROR(SUMPRODUCT(INDEX('Semester 2'!$D$7:$I$64,MATCH(B22,'Semester 2'!$B$7:$B$64,0),0),{4,3,3,3,4,0}),0)+IFERROR(SUMPRODUCT(INDEX('Semester 3'!$D$7:$N$64,MATCH(B22,'Semester 3'!$B$7:$B$64,0),0),{3,1,2,1,2,2,1,2,1,2,2}),0)+IFERROR(SUMPRODUCT(INDEX('Semester 4'!$D$7:$M$64,MATCH(B22,'Semester 4'!$B$7:$B$64,0),0),{2,1,2,1,2,1,2,3,2,2}),0)+IFERROR(SUMPRODUCT(INDEX('Semester 5'!$D$7:$N$54,MATCH(B22,'Semester 5'!$B$7:$B$54,0),0),{2,1,2,1,2,1,2,1,3,2,0}),0)+SUMPRODUCT(D22:L22,{2,1,2,1,2,1,3,3,3}))/105,2))</f>
        <v>3.43</v>
      </c>
      <c r="O22" s="4" t="str">
        <f t="shared" si="1"/>
        <v>Promoted</v>
      </c>
      <c r="P22" s="8"/>
    </row>
    <row r="23" spans="1:16" ht="14.25" customHeight="1">
      <c r="A23" s="4">
        <v>17</v>
      </c>
      <c r="B23" s="4" t="s">
        <v>50</v>
      </c>
      <c r="C23" s="5" t="s">
        <v>51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f t="shared" si="0"/>
        <v>0</v>
      </c>
      <c r="N23" s="6">
        <f t="array" ref="N23">IF(B23="","",ROUND((IFERROR(SUMPRODUCT(INDEX('Semester 1'!$D$7:$I$62,MATCH(B23,'Semester 1'!$B$7:$B$62,0),0),{4,3,3,3,3,0}),0)+IFERROR(SUMPRODUCT(INDEX('Semester 2'!$D$7:$I$64,MATCH(B23,'Semester 2'!$B$7:$B$64,0),0),{4,3,3,3,4,0}),0)+IFERROR(SUMPRODUCT(INDEX('Semester 3'!$D$7:$N$64,MATCH(B23,'Semester 3'!$B$7:$B$64,0),0),{3,1,2,1,2,2,1,2,1,2,2}),0)+IFERROR(SUMPRODUCT(INDEX('Semester 4'!$D$7:$M$64,MATCH(B23,'Semester 4'!$B$7:$B$64,0),0),{2,1,2,1,2,1,2,3,2,2}),0)+IFERROR(SUMPRODUCT(INDEX('Semester 5'!$D$7:$N$54,MATCH(B23,'Semester 5'!$B$7:$B$54,0),0),{2,1,2,1,2,1,2,1,3,2,0}),0)+SUMPRODUCT(D23:L23,{2,1,2,1,2,1,3,3,3}))/105,2))</f>
        <v>2.35</v>
      </c>
      <c r="O23" s="4" t="s">
        <v>43</v>
      </c>
      <c r="P23" s="8"/>
    </row>
    <row r="24" spans="1:16" ht="14.25" customHeight="1">
      <c r="A24" s="4">
        <v>18</v>
      </c>
      <c r="B24" s="4" t="s">
        <v>52</v>
      </c>
      <c r="C24" s="5" t="s">
        <v>53</v>
      </c>
      <c r="D24" s="6">
        <v>3.5</v>
      </c>
      <c r="E24" s="6">
        <v>3.5</v>
      </c>
      <c r="F24" s="6">
        <v>3</v>
      </c>
      <c r="G24" s="6">
        <v>3.7</v>
      </c>
      <c r="H24" s="6">
        <v>3.7</v>
      </c>
      <c r="I24" s="6">
        <v>3.3</v>
      </c>
      <c r="J24" s="6">
        <v>3</v>
      </c>
      <c r="K24" s="6">
        <v>2</v>
      </c>
      <c r="L24" s="6">
        <v>3.2</v>
      </c>
      <c r="M24" s="6">
        <f t="shared" si="0"/>
        <v>3.08</v>
      </c>
      <c r="N24" s="6">
        <f t="array" ref="N24">IF(B24="","",ROUND((IFERROR(SUMPRODUCT(INDEX('Semester 1'!$D$7:$I$62,MATCH(B24,'Semester 1'!$B$7:$B$62,0),0),{4,3,3,3,3,0}),0)+IFERROR(SUMPRODUCT(INDEX('Semester 2'!$D$7:$I$64,MATCH(B24,'Semester 2'!$B$7:$B$64,0),0),{4,3,3,3,4,0}),0)+IFERROR(SUMPRODUCT(INDEX('Semester 3'!$D$7:$N$64,MATCH(B24,'Semester 3'!$B$7:$B$64,0),0),{3,1,2,1,2,2,1,2,1,2,2}),0)+IFERROR(SUMPRODUCT(INDEX('Semester 4'!$D$7:$M$64,MATCH(B24,'Semester 4'!$B$7:$B$64,0),0),{2,1,2,1,2,1,2,3,2,2}),0)+IFERROR(SUMPRODUCT(INDEX('Semester 5'!$D$7:$N$54,MATCH(B24,'Semester 5'!$B$7:$B$54,0),0),{2,1,2,1,2,1,2,1,3,2,0}),0)+SUMPRODUCT(D24:L24,{2,1,2,1,2,1,3,3,3}))/105,2))</f>
        <v>3.16</v>
      </c>
      <c r="O24" s="4" t="str">
        <f t="shared" ref="O24:O62" si="2">IF(AND(N24&gt;=2,N24&lt;=4),"Promoted","Dropped")</f>
        <v>Promoted</v>
      </c>
      <c r="P24" s="8"/>
    </row>
    <row r="25" spans="1:16" ht="14.25" customHeight="1">
      <c r="A25" s="4">
        <v>19</v>
      </c>
      <c r="B25" s="4" t="s">
        <v>54</v>
      </c>
      <c r="C25" s="5" t="s">
        <v>55</v>
      </c>
      <c r="D25" s="6">
        <v>4</v>
      </c>
      <c r="E25" s="6">
        <v>3.8</v>
      </c>
      <c r="F25" s="6">
        <v>3.3</v>
      </c>
      <c r="G25" s="6">
        <v>3.3</v>
      </c>
      <c r="H25" s="6">
        <v>3.8</v>
      </c>
      <c r="I25" s="6">
        <v>4</v>
      </c>
      <c r="J25" s="6">
        <v>3.3</v>
      </c>
      <c r="K25" s="6">
        <v>2.9</v>
      </c>
      <c r="L25" s="6">
        <v>3.9</v>
      </c>
      <c r="M25" s="6">
        <f t="shared" si="0"/>
        <v>3.53</v>
      </c>
      <c r="N25" s="6">
        <f t="array" ref="N25">IF(B25="","",ROUND((IFERROR(SUMPRODUCT(INDEX('Semester 1'!$D$7:$I$62,MATCH(B25,'Semester 1'!$B$7:$B$62,0),0),{4,3,3,3,3,0}),0)+IFERROR(SUMPRODUCT(INDEX('Semester 2'!$D$7:$I$64,MATCH(B25,'Semester 2'!$B$7:$B$64,0),0),{4,3,3,3,4,0}),0)+IFERROR(SUMPRODUCT(INDEX('Semester 3'!$D$7:$N$64,MATCH(B25,'Semester 3'!$B$7:$B$64,0),0),{3,1,2,1,2,2,1,2,1,2,2}),0)+IFERROR(SUMPRODUCT(INDEX('Semester 4'!$D$7:$M$64,MATCH(B25,'Semester 4'!$B$7:$B$64,0),0),{2,1,2,1,2,1,2,3,2,2}),0)+IFERROR(SUMPRODUCT(INDEX('Semester 5'!$D$7:$N$54,MATCH(B25,'Semester 5'!$B$7:$B$54,0),0),{2,1,2,1,2,1,2,1,3,2,0}),0)+SUMPRODUCT(D25:L25,{2,1,2,1,2,1,3,3,3}))/105,2))</f>
        <v>3.43</v>
      </c>
      <c r="O25" s="4" t="str">
        <f t="shared" si="2"/>
        <v>Promoted</v>
      </c>
      <c r="P25" s="8"/>
    </row>
    <row r="26" spans="1:16" ht="14.25" customHeight="1">
      <c r="A26" s="4">
        <v>20</v>
      </c>
      <c r="B26" s="4" t="s">
        <v>56</v>
      </c>
      <c r="C26" s="5" t="s">
        <v>57</v>
      </c>
      <c r="D26" s="6">
        <v>2.4</v>
      </c>
      <c r="E26" s="6">
        <v>2.2000000000000002</v>
      </c>
      <c r="F26" s="6">
        <v>3.2</v>
      </c>
      <c r="G26" s="6">
        <v>3.1</v>
      </c>
      <c r="H26" s="6">
        <v>3.6</v>
      </c>
      <c r="I26" s="6">
        <v>3.3</v>
      </c>
      <c r="J26" s="6">
        <v>2.9</v>
      </c>
      <c r="K26" s="6">
        <v>2</v>
      </c>
      <c r="L26" s="6">
        <v>3.5</v>
      </c>
      <c r="M26" s="6">
        <f t="shared" si="0"/>
        <v>2.9</v>
      </c>
      <c r="N26" s="6">
        <f t="array" ref="N26">IF(B26="","",ROUND((IFERROR(SUMPRODUCT(INDEX('Semester 1'!$D$7:$I$62,MATCH(B26,'Semester 1'!$B$7:$B$62,0),0),{4,3,3,3,3,0}),0)+IFERROR(SUMPRODUCT(INDEX('Semester 2'!$D$7:$I$64,MATCH(B26,'Semester 2'!$B$7:$B$64,0),0),{4,3,3,3,4,0}),0)+IFERROR(SUMPRODUCT(INDEX('Semester 3'!$D$7:$N$64,MATCH(B26,'Semester 3'!$B$7:$B$64,0),0),{3,1,2,1,2,2,1,2,1,2,2}),0)+IFERROR(SUMPRODUCT(INDEX('Semester 4'!$D$7:$M$64,MATCH(B26,'Semester 4'!$B$7:$B$64,0),0),{2,1,2,1,2,1,2,3,2,2}),0)+IFERROR(SUMPRODUCT(INDEX('Semester 5'!$D$7:$N$54,MATCH(B26,'Semester 5'!$B$7:$B$54,0),0),{2,1,2,1,2,1,2,1,3,2,0}),0)+SUMPRODUCT(D26:L26,{2,1,2,1,2,1,3,3,3}))/105,2))</f>
        <v>2.6</v>
      </c>
      <c r="O26" s="4" t="str">
        <f t="shared" si="2"/>
        <v>Promoted</v>
      </c>
      <c r="P26" s="8"/>
    </row>
    <row r="27" spans="1:16" ht="14.25" customHeight="1">
      <c r="A27" s="4">
        <v>21</v>
      </c>
      <c r="B27" s="4" t="s">
        <v>58</v>
      </c>
      <c r="C27" s="5" t="s">
        <v>59</v>
      </c>
      <c r="D27" s="6">
        <v>3</v>
      </c>
      <c r="E27" s="6">
        <v>2.8</v>
      </c>
      <c r="F27" s="6">
        <v>2.9</v>
      </c>
      <c r="G27" s="6">
        <v>3.6</v>
      </c>
      <c r="H27" s="6">
        <v>3.7</v>
      </c>
      <c r="I27" s="6">
        <v>4</v>
      </c>
      <c r="J27" s="6">
        <v>3.1</v>
      </c>
      <c r="K27" s="6">
        <v>4</v>
      </c>
      <c r="L27" s="6">
        <v>3.1</v>
      </c>
      <c r="M27" s="6">
        <f t="shared" si="0"/>
        <v>3.34</v>
      </c>
      <c r="N27" s="6">
        <f t="array" ref="N27">IF(B27="","",ROUND((IFERROR(SUMPRODUCT(INDEX('Semester 1'!$D$7:$I$62,MATCH(B27,'Semester 1'!$B$7:$B$62,0),0),{4,3,3,3,3,0}),0)+IFERROR(SUMPRODUCT(INDEX('Semester 2'!$D$7:$I$64,MATCH(B27,'Semester 2'!$B$7:$B$64,0),0),{4,3,3,3,4,0}),0)+IFERROR(SUMPRODUCT(INDEX('Semester 3'!$D$7:$N$64,MATCH(B27,'Semester 3'!$B$7:$B$64,0),0),{3,1,2,1,2,2,1,2,1,2,2}),0)+IFERROR(SUMPRODUCT(INDEX('Semester 4'!$D$7:$M$64,MATCH(B27,'Semester 4'!$B$7:$B$64,0),0),{2,1,2,1,2,1,2,3,2,2}),0)+IFERROR(SUMPRODUCT(INDEX('Semester 5'!$D$7:$N$54,MATCH(B27,'Semester 5'!$B$7:$B$54,0),0),{2,1,2,1,2,1,2,1,3,2,0}),0)+SUMPRODUCT(D27:L27,{2,1,2,1,2,1,3,3,3}))/105,2))</f>
        <v>3.32</v>
      </c>
      <c r="O27" s="4" t="str">
        <f t="shared" si="2"/>
        <v>Promoted</v>
      </c>
      <c r="P27" s="8"/>
    </row>
    <row r="28" spans="1:16" ht="14.25" customHeight="1">
      <c r="A28" s="4">
        <v>22</v>
      </c>
      <c r="B28" s="4" t="s">
        <v>60</v>
      </c>
      <c r="C28" s="5" t="s">
        <v>61</v>
      </c>
      <c r="D28" s="6">
        <v>2.5</v>
      </c>
      <c r="E28" s="6">
        <v>2.4</v>
      </c>
      <c r="F28" s="6">
        <v>3.1</v>
      </c>
      <c r="G28" s="6">
        <v>3.3</v>
      </c>
      <c r="H28" s="6">
        <v>3.7</v>
      </c>
      <c r="I28" s="6">
        <v>4</v>
      </c>
      <c r="J28" s="6">
        <v>3.7</v>
      </c>
      <c r="K28" s="6">
        <v>2</v>
      </c>
      <c r="L28" s="6">
        <v>3.5</v>
      </c>
      <c r="M28" s="6">
        <f t="shared" si="0"/>
        <v>3.11</v>
      </c>
      <c r="N28" s="6">
        <f t="array" ref="N28">IF(B28="","",ROUND((IFERROR(SUMPRODUCT(INDEX('Semester 1'!$D$7:$I$62,MATCH(B28,'Semester 1'!$B$7:$B$62,0),0),{4,3,3,3,3,0}),0)+IFERROR(SUMPRODUCT(INDEX('Semester 2'!$D$7:$I$64,MATCH(B28,'Semester 2'!$B$7:$B$64,0),0),{4,3,3,3,4,0}),0)+IFERROR(SUMPRODUCT(INDEX('Semester 3'!$D$7:$N$64,MATCH(B28,'Semester 3'!$B$7:$B$64,0),0),{3,1,2,1,2,2,1,2,1,2,2}),0)+IFERROR(SUMPRODUCT(INDEX('Semester 4'!$D$7:$M$64,MATCH(B28,'Semester 4'!$B$7:$B$64,0),0),{2,1,2,1,2,1,2,3,2,2}),0)+IFERROR(SUMPRODUCT(INDEX('Semester 5'!$D$7:$N$54,MATCH(B28,'Semester 5'!$B$7:$B$54,0),0),{2,1,2,1,2,1,2,1,3,2,0}),0)+SUMPRODUCT(D28:L28,{2,1,2,1,2,1,3,3,3}))/105,2))</f>
        <v>3.02</v>
      </c>
      <c r="O28" s="4" t="str">
        <f t="shared" si="2"/>
        <v>Promoted</v>
      </c>
      <c r="P28" s="8"/>
    </row>
    <row r="29" spans="1:16" ht="14.25" customHeight="1">
      <c r="A29" s="4">
        <v>23</v>
      </c>
      <c r="B29" s="4" t="s">
        <v>62</v>
      </c>
      <c r="C29" s="5" t="s">
        <v>63</v>
      </c>
      <c r="D29" s="6">
        <v>3.4</v>
      </c>
      <c r="E29" s="6">
        <v>3.2</v>
      </c>
      <c r="F29" s="6">
        <v>3.7</v>
      </c>
      <c r="G29" s="6">
        <v>3.6</v>
      </c>
      <c r="H29" s="6">
        <v>0</v>
      </c>
      <c r="I29" s="6">
        <v>3.3</v>
      </c>
      <c r="J29" s="6">
        <v>3.3</v>
      </c>
      <c r="K29" s="6">
        <v>2.7</v>
      </c>
      <c r="L29" s="6">
        <v>3.3</v>
      </c>
      <c r="M29" s="6">
        <f t="shared" si="0"/>
        <v>2.9</v>
      </c>
      <c r="N29" s="6">
        <f t="array" ref="N29">IF(B29="","",ROUND((IFERROR(SUMPRODUCT(INDEX('Semester 1'!$D$7:$I$62,MATCH(B29,'Semester 1'!$B$7:$B$62,0),0),{4,3,3,3,3,0}),0)+IFERROR(SUMPRODUCT(INDEX('Semester 2'!$D$7:$I$64,MATCH(B29,'Semester 2'!$B$7:$B$64,0),0),{4,3,3,3,4,0}),0)+IFERROR(SUMPRODUCT(INDEX('Semester 3'!$D$7:$N$64,MATCH(B29,'Semester 3'!$B$7:$B$64,0),0),{3,1,2,1,2,2,1,2,1,2,2}),0)+IFERROR(SUMPRODUCT(INDEX('Semester 4'!$D$7:$M$64,MATCH(B29,'Semester 4'!$B$7:$B$64,0),0),{2,1,2,1,2,1,2,3,2,2}),0)+IFERROR(SUMPRODUCT(INDEX('Semester 5'!$D$7:$N$54,MATCH(B29,'Semester 5'!$B$7:$B$54,0),0),{2,1,2,1,2,1,2,1,3,2,0}),0)+SUMPRODUCT(D29:L29,{2,1,2,1,2,1,3,3,3}))/105,2))</f>
        <v>3.29</v>
      </c>
      <c r="O29" s="4" t="str">
        <f t="shared" si="2"/>
        <v>Promoted</v>
      </c>
      <c r="P29" s="8"/>
    </row>
    <row r="30" spans="1:16" ht="14.25" customHeight="1">
      <c r="A30" s="4">
        <v>24</v>
      </c>
      <c r="B30" s="4" t="s">
        <v>64</v>
      </c>
      <c r="C30" s="5" t="s">
        <v>65</v>
      </c>
      <c r="D30" s="6">
        <v>3.1</v>
      </c>
      <c r="E30" s="6">
        <v>2.9</v>
      </c>
      <c r="F30" s="6">
        <v>2.8</v>
      </c>
      <c r="G30" s="6">
        <v>3.3</v>
      </c>
      <c r="H30" s="6">
        <v>3.7</v>
      </c>
      <c r="I30" s="6">
        <v>4</v>
      </c>
      <c r="J30" s="6">
        <v>2.7</v>
      </c>
      <c r="K30" s="6">
        <v>2.2000000000000002</v>
      </c>
      <c r="L30" s="6">
        <v>3.4</v>
      </c>
      <c r="M30" s="6">
        <f t="shared" si="0"/>
        <v>3.02</v>
      </c>
      <c r="N30" s="6">
        <f t="array" ref="N30">IF(B30="","",ROUND((IFERROR(SUMPRODUCT(INDEX('Semester 1'!$D$7:$I$62,MATCH(B30,'Semester 1'!$B$7:$B$62,0),0),{4,3,3,3,3,0}),0)+IFERROR(SUMPRODUCT(INDEX('Semester 2'!$D$7:$I$64,MATCH(B30,'Semester 2'!$B$7:$B$64,0),0),{4,3,3,3,4,0}),0)+IFERROR(SUMPRODUCT(INDEX('Semester 3'!$D$7:$N$64,MATCH(B30,'Semester 3'!$B$7:$B$64,0),0),{3,1,2,1,2,2,1,2,1,2,2}),0)+IFERROR(SUMPRODUCT(INDEX('Semester 4'!$D$7:$M$64,MATCH(B30,'Semester 4'!$B$7:$B$64,0),0),{2,1,2,1,2,1,2,3,2,2}),0)+IFERROR(SUMPRODUCT(INDEX('Semester 5'!$D$7:$N$54,MATCH(B30,'Semester 5'!$B$7:$B$54,0),0),{2,1,2,1,2,1,2,1,3,2,0}),0)+SUMPRODUCT(D30:L30,{2,1,2,1,2,1,3,3,3}))/105,2))</f>
        <v>3.2</v>
      </c>
      <c r="O30" s="4" t="str">
        <f t="shared" si="2"/>
        <v>Promoted</v>
      </c>
      <c r="P30" s="8"/>
    </row>
    <row r="31" spans="1:16" ht="14.25" customHeight="1">
      <c r="A31" s="4">
        <v>25</v>
      </c>
      <c r="B31" s="4" t="s">
        <v>66</v>
      </c>
      <c r="C31" s="5" t="s">
        <v>67</v>
      </c>
      <c r="D31" s="6">
        <v>3</v>
      </c>
      <c r="E31" s="6">
        <v>3.1</v>
      </c>
      <c r="F31" s="6">
        <v>3.1</v>
      </c>
      <c r="G31" s="6">
        <v>3.3</v>
      </c>
      <c r="H31" s="6">
        <v>3.6</v>
      </c>
      <c r="I31" s="6">
        <v>4</v>
      </c>
      <c r="J31" s="6">
        <v>3.3</v>
      </c>
      <c r="K31" s="6">
        <v>2.9</v>
      </c>
      <c r="L31" s="6">
        <v>3.1</v>
      </c>
      <c r="M31" s="6">
        <f t="shared" si="0"/>
        <v>3.21</v>
      </c>
      <c r="N31" s="6">
        <f t="array" ref="N31">IF(B31="","",ROUND((IFERROR(SUMPRODUCT(INDEX('Semester 1'!$D$7:$I$62,MATCH(B31,'Semester 1'!$B$7:$B$62,0),0),{4,3,3,3,3,0}),0)+IFERROR(SUMPRODUCT(INDEX('Semester 2'!$D$7:$I$64,MATCH(B31,'Semester 2'!$B$7:$B$64,0),0),{4,3,3,3,4,0}),0)+IFERROR(SUMPRODUCT(INDEX('Semester 3'!$D$7:$N$64,MATCH(B31,'Semester 3'!$B$7:$B$64,0),0),{3,1,2,1,2,2,1,2,1,2,2}),0)+IFERROR(SUMPRODUCT(INDEX('Semester 4'!$D$7:$M$64,MATCH(B31,'Semester 4'!$B$7:$B$64,0),0),{2,1,2,1,2,1,2,3,2,2}),0)+IFERROR(SUMPRODUCT(INDEX('Semester 5'!$D$7:$N$54,MATCH(B31,'Semester 5'!$B$7:$B$54,0),0),{2,1,2,1,2,1,2,1,3,2,0}),0)+SUMPRODUCT(D31:L31,{2,1,2,1,2,1,3,3,3}))/105,2))</f>
        <v>2.95</v>
      </c>
      <c r="O31" s="4" t="str">
        <f t="shared" si="2"/>
        <v>Promoted</v>
      </c>
      <c r="P31" s="8"/>
    </row>
    <row r="32" spans="1:16" ht="14.25" customHeight="1">
      <c r="A32" s="4">
        <v>26</v>
      </c>
      <c r="B32" s="4" t="s">
        <v>68</v>
      </c>
      <c r="C32" s="5" t="s">
        <v>69</v>
      </c>
      <c r="D32" s="6">
        <v>3.3</v>
      </c>
      <c r="E32" s="6">
        <v>3.2</v>
      </c>
      <c r="F32" s="6">
        <v>2.5</v>
      </c>
      <c r="G32" s="6">
        <v>3.6</v>
      </c>
      <c r="H32" s="6">
        <v>3.9</v>
      </c>
      <c r="I32" s="6">
        <v>4</v>
      </c>
      <c r="J32" s="6">
        <v>3</v>
      </c>
      <c r="K32" s="6">
        <v>3.1</v>
      </c>
      <c r="L32" s="6">
        <v>3.5</v>
      </c>
      <c r="M32" s="6">
        <f t="shared" si="0"/>
        <v>3.28</v>
      </c>
      <c r="N32" s="6">
        <f t="array" ref="N32">IF(B32="","",ROUND((IFERROR(SUMPRODUCT(INDEX('Semester 1'!$D$7:$I$62,MATCH(B32,'Semester 1'!$B$7:$B$62,0),0),{4,3,3,3,3,0}),0)+IFERROR(SUMPRODUCT(INDEX('Semester 2'!$D$7:$I$64,MATCH(B32,'Semester 2'!$B$7:$B$64,0),0),{4,3,3,3,4,0}),0)+IFERROR(SUMPRODUCT(INDEX('Semester 3'!$D$7:$N$64,MATCH(B32,'Semester 3'!$B$7:$B$64,0),0),{3,1,2,1,2,2,1,2,1,2,2}),0)+IFERROR(SUMPRODUCT(INDEX('Semester 4'!$D$7:$M$64,MATCH(B32,'Semester 4'!$B$7:$B$64,0),0),{2,1,2,1,2,1,2,3,2,2}),0)+IFERROR(SUMPRODUCT(INDEX('Semester 5'!$D$7:$N$54,MATCH(B32,'Semester 5'!$B$7:$B$54,0),0),{2,1,2,1,2,1,2,1,3,2,0}),0)+SUMPRODUCT(D32:L32,{2,1,2,1,2,1,3,3,3}))/105,2))</f>
        <v>3.04</v>
      </c>
      <c r="O32" s="4" t="str">
        <f t="shared" si="2"/>
        <v>Promoted</v>
      </c>
      <c r="P32" s="8"/>
    </row>
    <row r="33" spans="1:16" ht="14.25" customHeight="1">
      <c r="A33" s="4">
        <v>27</v>
      </c>
      <c r="B33" s="4" t="s">
        <v>70</v>
      </c>
      <c r="C33" s="5" t="s">
        <v>71</v>
      </c>
      <c r="D33" s="6">
        <v>2.7</v>
      </c>
      <c r="E33" s="6">
        <v>2.7</v>
      </c>
      <c r="F33" s="6">
        <v>3.3</v>
      </c>
      <c r="G33" s="6">
        <v>3.2</v>
      </c>
      <c r="H33" s="6">
        <v>4</v>
      </c>
      <c r="I33" s="6">
        <v>4</v>
      </c>
      <c r="J33" s="6">
        <v>4</v>
      </c>
      <c r="K33" s="6">
        <v>4</v>
      </c>
      <c r="L33" s="6">
        <v>3.7</v>
      </c>
      <c r="M33" s="6">
        <f t="shared" si="0"/>
        <v>3.61</v>
      </c>
      <c r="N33" s="6">
        <f t="array" ref="N33">IF(B33="","",ROUND((IFERROR(SUMPRODUCT(INDEX('Semester 1'!$D$7:$I$62,MATCH(B33,'Semester 1'!$B$7:$B$62,0),0),{4,3,3,3,3,0}),0)+IFERROR(SUMPRODUCT(INDEX('Semester 2'!$D$7:$I$64,MATCH(B33,'Semester 2'!$B$7:$B$64,0),0),{4,3,3,3,4,0}),0)+IFERROR(SUMPRODUCT(INDEX('Semester 3'!$D$7:$N$64,MATCH(B33,'Semester 3'!$B$7:$B$64,0),0),{3,1,2,1,2,2,1,2,1,2,2}),0)+IFERROR(SUMPRODUCT(INDEX('Semester 4'!$D$7:$M$64,MATCH(B33,'Semester 4'!$B$7:$B$64,0),0),{2,1,2,1,2,1,2,3,2,2}),0)+IFERROR(SUMPRODUCT(INDEX('Semester 5'!$D$7:$N$54,MATCH(B33,'Semester 5'!$B$7:$B$54,0),0),{2,1,2,1,2,1,2,1,3,2,0}),0)+SUMPRODUCT(D33:L33,{2,1,2,1,2,1,3,3,3}))/105,2))</f>
        <v>2.99</v>
      </c>
      <c r="O33" s="4" t="str">
        <f t="shared" si="2"/>
        <v>Promoted</v>
      </c>
      <c r="P33" s="8"/>
    </row>
    <row r="34" spans="1:16" ht="14.25" customHeight="1">
      <c r="A34" s="4">
        <v>28</v>
      </c>
      <c r="B34" s="4" t="s">
        <v>72</v>
      </c>
      <c r="C34" s="5" t="s">
        <v>73</v>
      </c>
      <c r="D34" s="6">
        <v>3.1</v>
      </c>
      <c r="E34" s="6">
        <v>2.9</v>
      </c>
      <c r="F34" s="6">
        <v>3.4</v>
      </c>
      <c r="G34" s="6">
        <v>3.1</v>
      </c>
      <c r="H34" s="6">
        <v>3.6</v>
      </c>
      <c r="I34" s="6">
        <v>4</v>
      </c>
      <c r="J34" s="6">
        <v>3.7</v>
      </c>
      <c r="K34" s="6">
        <v>3.5</v>
      </c>
      <c r="L34" s="6">
        <v>3.1</v>
      </c>
      <c r="M34" s="6">
        <f t="shared" si="0"/>
        <v>3.39</v>
      </c>
      <c r="N34" s="6">
        <f t="array" ref="N34">IF(B34="","",ROUND((IFERROR(SUMPRODUCT(INDEX('Semester 1'!$D$7:$I$62,MATCH(B34,'Semester 1'!$B$7:$B$62,0),0),{4,3,3,3,3,0}),0)+IFERROR(SUMPRODUCT(INDEX('Semester 2'!$D$7:$I$64,MATCH(B34,'Semester 2'!$B$7:$B$64,0),0),{4,3,3,3,4,0}),0)+IFERROR(SUMPRODUCT(INDEX('Semester 3'!$D$7:$N$64,MATCH(B34,'Semester 3'!$B$7:$B$64,0),0),{3,1,2,1,2,2,1,2,1,2,2}),0)+IFERROR(SUMPRODUCT(INDEX('Semester 4'!$D$7:$M$64,MATCH(B34,'Semester 4'!$B$7:$B$64,0),0),{2,1,2,1,2,1,2,3,2,2}),0)+IFERROR(SUMPRODUCT(INDEX('Semester 5'!$D$7:$N$54,MATCH(B34,'Semester 5'!$B$7:$B$54,0),0),{2,1,2,1,2,1,2,1,3,2,0}),0)+SUMPRODUCT(D34:L34,{2,1,2,1,2,1,3,3,3}))/105,2))</f>
        <v>3.42</v>
      </c>
      <c r="O34" s="4" t="str">
        <f t="shared" si="2"/>
        <v>Promoted</v>
      </c>
      <c r="P34" s="8"/>
    </row>
    <row r="35" spans="1:16" ht="14.25" customHeight="1">
      <c r="A35" s="4">
        <v>29</v>
      </c>
      <c r="B35" s="4" t="s">
        <v>74</v>
      </c>
      <c r="C35" s="5" t="s">
        <v>75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f t="shared" si="0"/>
        <v>0</v>
      </c>
      <c r="N35" s="6">
        <f t="array" ref="N35">IF(B35="","",ROUND((IFERROR(SUMPRODUCT(INDEX('Semester 1'!$D$7:$I$62,MATCH(B35,'Semester 1'!$B$7:$B$62,0),0),{4,3,3,3,3,0}),0)+IFERROR(SUMPRODUCT(INDEX('Semester 2'!$D$7:$I$64,MATCH(B35,'Semester 2'!$B$7:$B$64,0),0),{4,3,3,3,4,0}),0)+IFERROR(SUMPRODUCT(INDEX('Semester 3'!$D$7:$N$64,MATCH(B35,'Semester 3'!$B$7:$B$64,0),0),{3,1,2,1,2,2,1,2,1,2,2}),0)+IFERROR(SUMPRODUCT(INDEX('Semester 4'!$D$7:$M$64,MATCH(B35,'Semester 4'!$B$7:$B$64,0),0),{2,1,2,1,2,1,2,3,2,2}),0)+IFERROR(SUMPRODUCT(INDEX('Semester 5'!$D$7:$N$54,MATCH(B35,'Semester 5'!$B$7:$B$54,0),0),{2,1,2,1,2,1,2,1,3,2,0}),0)+SUMPRODUCT(D35:L35,{2,1,2,1,2,1,3,3,3}))/105,2))</f>
        <v>1.01</v>
      </c>
      <c r="O35" s="4" t="str">
        <f t="shared" si="2"/>
        <v>Dropped</v>
      </c>
      <c r="P35" s="8"/>
    </row>
    <row r="36" spans="1:16" ht="14.25" customHeight="1">
      <c r="A36" s="4">
        <v>30</v>
      </c>
      <c r="B36" s="4" t="s">
        <v>76</v>
      </c>
      <c r="C36" s="5" t="s">
        <v>77</v>
      </c>
      <c r="D36" s="6">
        <v>2.2999999999999998</v>
      </c>
      <c r="E36" s="6">
        <v>2.2000000000000002</v>
      </c>
      <c r="F36" s="6">
        <v>2.7</v>
      </c>
      <c r="G36" s="6">
        <v>3</v>
      </c>
      <c r="H36" s="6">
        <v>2.6</v>
      </c>
      <c r="I36" s="6">
        <v>4</v>
      </c>
      <c r="J36" s="6">
        <v>2.7</v>
      </c>
      <c r="K36" s="6">
        <v>2.1</v>
      </c>
      <c r="L36" s="6">
        <v>3.9</v>
      </c>
      <c r="M36" s="6">
        <f t="shared" si="0"/>
        <v>2.81</v>
      </c>
      <c r="N36" s="6">
        <f t="array" ref="N36">IF(B36="","",ROUND((IFERROR(SUMPRODUCT(INDEX('Semester 1'!$D$7:$I$62,MATCH(B36,'Semester 1'!$B$7:$B$62,0),0),{4,3,3,3,3,0}),0)+IFERROR(SUMPRODUCT(INDEX('Semester 2'!$D$7:$I$64,MATCH(B36,'Semester 2'!$B$7:$B$64,0),0),{4,3,3,3,4,0}),0)+IFERROR(SUMPRODUCT(INDEX('Semester 3'!$D$7:$N$64,MATCH(B36,'Semester 3'!$B$7:$B$64,0),0),{3,1,2,1,2,2,1,2,1,2,2}),0)+IFERROR(SUMPRODUCT(INDEX('Semester 4'!$D$7:$M$64,MATCH(B36,'Semester 4'!$B$7:$B$64,0),0),{2,1,2,1,2,1,2,3,2,2}),0)+IFERROR(SUMPRODUCT(INDEX('Semester 5'!$D$7:$N$54,MATCH(B36,'Semester 5'!$B$7:$B$54,0),0),{2,1,2,1,2,1,2,1,3,2,0}),0)+SUMPRODUCT(D36:L36,{2,1,2,1,2,1,3,3,3}))/105,2))</f>
        <v>2.61</v>
      </c>
      <c r="O36" s="4" t="str">
        <f t="shared" si="2"/>
        <v>Promoted</v>
      </c>
      <c r="P36" s="8"/>
    </row>
    <row r="37" spans="1:16" ht="14.25" customHeight="1">
      <c r="A37" s="4">
        <v>31</v>
      </c>
      <c r="B37" s="4" t="s">
        <v>78</v>
      </c>
      <c r="C37" s="5" t="s">
        <v>79</v>
      </c>
      <c r="D37" s="6">
        <v>4</v>
      </c>
      <c r="E37" s="6">
        <v>3.7</v>
      </c>
      <c r="F37" s="6">
        <v>4</v>
      </c>
      <c r="G37" s="6">
        <v>3.5</v>
      </c>
      <c r="H37" s="6">
        <v>4</v>
      </c>
      <c r="I37" s="6">
        <v>4</v>
      </c>
      <c r="J37" s="6">
        <v>4</v>
      </c>
      <c r="K37" s="6">
        <v>4</v>
      </c>
      <c r="L37" s="6">
        <v>4</v>
      </c>
      <c r="M37" s="6">
        <f t="shared" si="0"/>
        <v>3.96</v>
      </c>
      <c r="N37" s="6">
        <f t="array" ref="N37">IF(B37="","",ROUND((IFERROR(SUMPRODUCT(INDEX('Semester 1'!$D$7:$I$62,MATCH(B37,'Semester 1'!$B$7:$B$62,0),0),{4,3,3,3,3,0}),0)+IFERROR(SUMPRODUCT(INDEX('Semester 2'!$D$7:$I$64,MATCH(B37,'Semester 2'!$B$7:$B$64,0),0),{4,3,3,3,4,0}),0)+IFERROR(SUMPRODUCT(INDEX('Semester 3'!$D$7:$N$64,MATCH(B37,'Semester 3'!$B$7:$B$64,0),0),{3,1,2,1,2,2,1,2,1,2,2}),0)+IFERROR(SUMPRODUCT(INDEX('Semester 4'!$D$7:$M$64,MATCH(B37,'Semester 4'!$B$7:$B$64,0),0),{2,1,2,1,2,1,2,3,2,2}),0)+IFERROR(SUMPRODUCT(INDEX('Semester 5'!$D$7:$N$54,MATCH(B37,'Semester 5'!$B$7:$B$54,0),0),{2,1,2,1,2,1,2,1,3,2,0}),0)+SUMPRODUCT(D37:L37,{2,1,2,1,2,1,3,3,3}))/105,2))</f>
        <v>3.82</v>
      </c>
      <c r="O37" s="4" t="str">
        <f t="shared" si="2"/>
        <v>Promoted</v>
      </c>
      <c r="P37" s="8"/>
    </row>
    <row r="38" spans="1:16" ht="14.25" customHeight="1">
      <c r="A38" s="4">
        <v>32</v>
      </c>
      <c r="B38" s="4" t="s">
        <v>80</v>
      </c>
      <c r="C38" s="5" t="s">
        <v>81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f t="shared" si="0"/>
        <v>0</v>
      </c>
      <c r="N38" s="6">
        <f t="array" ref="N38">IF(B38="","",ROUND((IFERROR(SUMPRODUCT(INDEX('Semester 1'!$D$7:$I$62,MATCH(B38,'Semester 1'!$B$7:$B$62,0),0),{4,3,3,3,3,0}),0)+IFERROR(SUMPRODUCT(INDEX('Semester 2'!$D$7:$I$64,MATCH(B38,'Semester 2'!$B$7:$B$64,0),0),{4,3,3,3,4,0}),0)+IFERROR(SUMPRODUCT(INDEX('Semester 3'!$D$7:$N$64,MATCH(B38,'Semester 3'!$B$7:$B$64,0),0),{3,1,2,1,2,2,1,2,1,2,2}),0)+IFERROR(SUMPRODUCT(INDEX('Semester 4'!$D$7:$M$64,MATCH(B38,'Semester 4'!$B$7:$B$64,0),0),{2,1,2,1,2,1,2,3,2,2}),0)+IFERROR(SUMPRODUCT(INDEX('Semester 5'!$D$7:$N$54,MATCH(B38,'Semester 5'!$B$7:$B$54,0),0),{2,1,2,1,2,1,2,1,3,2,0}),0)+SUMPRODUCT(D38:L38,{2,1,2,1,2,1,3,3,3}))/105,2))</f>
        <v>0.6</v>
      </c>
      <c r="O38" s="4" t="str">
        <f t="shared" si="2"/>
        <v>Dropped</v>
      </c>
      <c r="P38" s="8"/>
    </row>
    <row r="39" spans="1:16" ht="14.25" customHeight="1">
      <c r="A39" s="4">
        <v>33</v>
      </c>
      <c r="B39" s="4" t="s">
        <v>82</v>
      </c>
      <c r="C39" s="5" t="s">
        <v>83</v>
      </c>
      <c r="D39" s="6">
        <v>3.1</v>
      </c>
      <c r="E39" s="6">
        <v>3.1</v>
      </c>
      <c r="F39" s="6">
        <v>3.9</v>
      </c>
      <c r="G39" s="6">
        <v>3.3</v>
      </c>
      <c r="H39" s="6">
        <v>4</v>
      </c>
      <c r="I39" s="6">
        <v>4</v>
      </c>
      <c r="J39" s="6">
        <v>3.3</v>
      </c>
      <c r="K39" s="6">
        <v>2</v>
      </c>
      <c r="L39" s="6">
        <v>3.9</v>
      </c>
      <c r="M39" s="6">
        <f t="shared" si="0"/>
        <v>3.33</v>
      </c>
      <c r="N39" s="6">
        <f t="array" ref="N39">IF(B39="","",ROUND((IFERROR(SUMPRODUCT(INDEX('Semester 1'!$D$7:$I$62,MATCH(B39,'Semester 1'!$B$7:$B$62,0),0),{4,3,3,3,3,0}),0)+IFERROR(SUMPRODUCT(INDEX('Semester 2'!$D$7:$I$64,MATCH(B39,'Semester 2'!$B$7:$B$64,0),0),{4,3,3,3,4,0}),0)+IFERROR(SUMPRODUCT(INDEX('Semester 3'!$D$7:$N$64,MATCH(B39,'Semester 3'!$B$7:$B$64,0),0),{3,1,2,1,2,2,1,2,1,2,2}),0)+IFERROR(SUMPRODUCT(INDEX('Semester 4'!$D$7:$M$64,MATCH(B39,'Semester 4'!$B$7:$B$64,0),0),{2,1,2,1,2,1,2,3,2,2}),0)+IFERROR(SUMPRODUCT(INDEX('Semester 5'!$D$7:$N$54,MATCH(B39,'Semester 5'!$B$7:$B$54,0),0),{2,1,2,1,2,1,2,1,3,2,0}),0)+SUMPRODUCT(D39:L39,{2,1,2,1,2,1,3,3,3}))/105,2))</f>
        <v>3.33</v>
      </c>
      <c r="O39" s="4" t="str">
        <f t="shared" si="2"/>
        <v>Promoted</v>
      </c>
      <c r="P39" s="8"/>
    </row>
    <row r="40" spans="1:16" ht="14.25" customHeight="1">
      <c r="A40" s="4">
        <v>34</v>
      </c>
      <c r="B40" s="4" t="s">
        <v>84</v>
      </c>
      <c r="C40" s="5" t="s">
        <v>85</v>
      </c>
      <c r="D40" s="6">
        <v>3.1</v>
      </c>
      <c r="E40" s="6">
        <v>2.9</v>
      </c>
      <c r="F40" s="6">
        <v>3.3</v>
      </c>
      <c r="G40" s="6">
        <v>3.7</v>
      </c>
      <c r="H40" s="6">
        <v>3.2</v>
      </c>
      <c r="I40" s="6">
        <v>4</v>
      </c>
      <c r="J40" s="6">
        <v>3.9</v>
      </c>
      <c r="K40" s="6">
        <v>3.2</v>
      </c>
      <c r="L40" s="6">
        <v>3.8</v>
      </c>
      <c r="M40" s="6">
        <f t="shared" si="0"/>
        <v>3.47</v>
      </c>
      <c r="N40" s="6">
        <f t="array" ref="N40">IF(B40="","",ROUND((IFERROR(SUMPRODUCT(INDEX('Semester 1'!$D$7:$I$62,MATCH(B40,'Semester 1'!$B$7:$B$62,0),0),{4,3,3,3,3,0}),0)+IFERROR(SUMPRODUCT(INDEX('Semester 2'!$D$7:$I$64,MATCH(B40,'Semester 2'!$B$7:$B$64,0),0),{4,3,3,3,4,0}),0)+IFERROR(SUMPRODUCT(INDEX('Semester 3'!$D$7:$N$64,MATCH(B40,'Semester 3'!$B$7:$B$64,0),0),{3,1,2,1,2,2,1,2,1,2,2}),0)+IFERROR(SUMPRODUCT(INDEX('Semester 4'!$D$7:$M$64,MATCH(B40,'Semester 4'!$B$7:$B$64,0),0),{2,1,2,1,2,1,2,3,2,2}),0)+IFERROR(SUMPRODUCT(INDEX('Semester 5'!$D$7:$N$54,MATCH(B40,'Semester 5'!$B$7:$B$54,0),0),{2,1,2,1,2,1,2,1,3,2,0}),0)+SUMPRODUCT(D40:L40,{2,1,2,1,2,1,3,3,3}))/105,2))</f>
        <v>3.17</v>
      </c>
      <c r="O40" s="4" t="str">
        <f t="shared" si="2"/>
        <v>Promoted</v>
      </c>
      <c r="P40" s="8"/>
    </row>
    <row r="41" spans="1:16" ht="14.25" customHeight="1">
      <c r="A41" s="4">
        <v>35</v>
      </c>
      <c r="B41" s="4" t="s">
        <v>86</v>
      </c>
      <c r="C41" s="5" t="s">
        <v>87</v>
      </c>
      <c r="D41" s="6">
        <v>2.7</v>
      </c>
      <c r="E41" s="6">
        <v>2.7</v>
      </c>
      <c r="F41" s="6">
        <v>2.7</v>
      </c>
      <c r="G41" s="6">
        <v>3.4</v>
      </c>
      <c r="H41" s="6">
        <v>3.1</v>
      </c>
      <c r="I41" s="6">
        <v>4</v>
      </c>
      <c r="J41" s="6">
        <v>2.7</v>
      </c>
      <c r="K41" s="6">
        <v>2</v>
      </c>
      <c r="L41" s="6">
        <v>2.9</v>
      </c>
      <c r="M41" s="6">
        <f t="shared" si="0"/>
        <v>2.77</v>
      </c>
      <c r="N41" s="6">
        <f t="array" ref="N41">IF(B41="","",ROUND((IFERROR(SUMPRODUCT(INDEX('Semester 1'!$D$7:$I$62,MATCH(B41,'Semester 1'!$B$7:$B$62,0),0),{4,3,3,3,3,0}),0)+IFERROR(SUMPRODUCT(INDEX('Semester 2'!$D$7:$I$64,MATCH(B41,'Semester 2'!$B$7:$B$64,0),0),{4,3,3,3,4,0}),0)+IFERROR(SUMPRODUCT(INDEX('Semester 3'!$D$7:$N$64,MATCH(B41,'Semester 3'!$B$7:$B$64,0),0),{3,1,2,1,2,2,1,2,1,2,2}),0)+IFERROR(SUMPRODUCT(INDEX('Semester 4'!$D$7:$M$64,MATCH(B41,'Semester 4'!$B$7:$B$64,0),0),{2,1,2,1,2,1,2,3,2,2}),0)+IFERROR(SUMPRODUCT(INDEX('Semester 5'!$D$7:$N$54,MATCH(B41,'Semester 5'!$B$7:$B$54,0),0),{2,1,2,1,2,1,2,1,3,2,0}),0)+SUMPRODUCT(D41:L41,{2,1,2,1,2,1,3,3,3}))/105,2))</f>
        <v>2.94</v>
      </c>
      <c r="O41" s="4" t="str">
        <f t="shared" si="2"/>
        <v>Promoted</v>
      </c>
      <c r="P41" s="8"/>
    </row>
    <row r="42" spans="1:16" ht="14.25" customHeight="1">
      <c r="A42" s="4">
        <v>36</v>
      </c>
      <c r="B42" s="4" t="s">
        <v>88</v>
      </c>
      <c r="C42" s="5" t="s">
        <v>89</v>
      </c>
      <c r="D42" s="6">
        <v>4</v>
      </c>
      <c r="E42" s="6">
        <v>3.5</v>
      </c>
      <c r="F42" s="6">
        <v>3.3</v>
      </c>
      <c r="G42" s="6">
        <v>3.1</v>
      </c>
      <c r="H42" s="6">
        <v>3.5</v>
      </c>
      <c r="I42" s="6">
        <v>4</v>
      </c>
      <c r="J42" s="6">
        <v>2</v>
      </c>
      <c r="K42" s="6">
        <v>2</v>
      </c>
      <c r="L42" s="6">
        <v>3.7</v>
      </c>
      <c r="M42" s="6">
        <f t="shared" si="0"/>
        <v>3.07</v>
      </c>
      <c r="N42" s="6">
        <f t="array" ref="N42">IF(B42="","",ROUND((IFERROR(SUMPRODUCT(INDEX('Semester 1'!$D$7:$I$62,MATCH(B42,'Semester 1'!$B$7:$B$62,0),0),{4,3,3,3,3,0}),0)+IFERROR(SUMPRODUCT(INDEX('Semester 2'!$D$7:$I$64,MATCH(B42,'Semester 2'!$B$7:$B$64,0),0),{4,3,3,3,4,0}),0)+IFERROR(SUMPRODUCT(INDEX('Semester 3'!$D$7:$N$64,MATCH(B42,'Semester 3'!$B$7:$B$64,0),0),{3,1,2,1,2,2,1,2,1,2,2}),0)+IFERROR(SUMPRODUCT(INDEX('Semester 4'!$D$7:$M$64,MATCH(B42,'Semester 4'!$B$7:$B$64,0),0),{2,1,2,1,2,1,2,3,2,2}),0)+IFERROR(SUMPRODUCT(INDEX('Semester 5'!$D$7:$N$54,MATCH(B42,'Semester 5'!$B$7:$B$54,0),0),{2,1,2,1,2,1,2,1,3,2,0}),0)+SUMPRODUCT(D42:L42,{2,1,2,1,2,1,3,3,3}))/105,2))</f>
        <v>3.16</v>
      </c>
      <c r="O42" s="4" t="str">
        <f t="shared" si="2"/>
        <v>Promoted</v>
      </c>
      <c r="P42" s="8"/>
    </row>
    <row r="43" spans="1:16" ht="14.25" customHeight="1">
      <c r="A43" s="4">
        <v>37</v>
      </c>
      <c r="B43" s="4" t="s">
        <v>90</v>
      </c>
      <c r="C43" s="5" t="s">
        <v>91</v>
      </c>
      <c r="D43" s="6">
        <v>3</v>
      </c>
      <c r="E43" s="6">
        <v>3.1</v>
      </c>
      <c r="F43" s="6">
        <v>3.4</v>
      </c>
      <c r="G43" s="6">
        <v>3.4</v>
      </c>
      <c r="H43" s="6">
        <v>4</v>
      </c>
      <c r="I43" s="6">
        <v>4</v>
      </c>
      <c r="J43" s="6">
        <v>3.1</v>
      </c>
      <c r="K43" s="6">
        <v>4</v>
      </c>
      <c r="L43" s="6">
        <v>3.1</v>
      </c>
      <c r="M43" s="6">
        <f t="shared" si="0"/>
        <v>3.44</v>
      </c>
      <c r="N43" s="6">
        <f t="array" ref="N43">IF(B43="","",ROUND((IFERROR(SUMPRODUCT(INDEX('Semester 1'!$D$7:$I$62,MATCH(B43,'Semester 1'!$B$7:$B$62,0),0),{4,3,3,3,3,0}),0)+IFERROR(SUMPRODUCT(INDEX('Semester 2'!$D$7:$I$64,MATCH(B43,'Semester 2'!$B$7:$B$64,0),0),{4,3,3,3,4,0}),0)+IFERROR(SUMPRODUCT(INDEX('Semester 3'!$D$7:$N$64,MATCH(B43,'Semester 3'!$B$7:$B$64,0),0),{3,1,2,1,2,2,1,2,1,2,2}),0)+IFERROR(SUMPRODUCT(INDEX('Semester 4'!$D$7:$M$64,MATCH(B43,'Semester 4'!$B$7:$B$64,0),0),{2,1,2,1,2,1,2,3,2,2}),0)+IFERROR(SUMPRODUCT(INDEX('Semester 5'!$D$7:$N$54,MATCH(B43,'Semester 5'!$B$7:$B$54,0),0),{2,1,2,1,2,1,2,1,3,2,0}),0)+SUMPRODUCT(D43:L43,{2,1,2,1,2,1,3,3,3}))/105,2))</f>
        <v>3.37</v>
      </c>
      <c r="O43" s="4" t="str">
        <f t="shared" si="2"/>
        <v>Promoted</v>
      </c>
      <c r="P43" s="8"/>
    </row>
    <row r="44" spans="1:16" ht="14.25" customHeight="1">
      <c r="A44" s="4">
        <v>38</v>
      </c>
      <c r="B44" s="4" t="s">
        <v>92</v>
      </c>
      <c r="C44" s="5" t="s">
        <v>93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f t="shared" si="0"/>
        <v>0</v>
      </c>
      <c r="N44" s="6">
        <f t="array" ref="N44">IF(B44="","",ROUND((IFERROR(SUMPRODUCT(INDEX('Semester 1'!$D$7:$I$62,MATCH(B44,'Semester 1'!$B$7:$B$62,0),0),{4,3,3,3,3,0}),0)+IFERROR(SUMPRODUCT(INDEX('Semester 2'!$D$7:$I$64,MATCH(B44,'Semester 2'!$B$7:$B$64,0),0),{4,3,3,3,4,0}),0)+IFERROR(SUMPRODUCT(INDEX('Semester 3'!$D$7:$N$64,MATCH(B44,'Semester 3'!$B$7:$B$64,0),0),{3,1,2,1,2,2,1,2,1,2,2}),0)+IFERROR(SUMPRODUCT(INDEX('Semester 4'!$D$7:$M$64,MATCH(B44,'Semester 4'!$B$7:$B$64,0),0),{2,1,2,1,2,1,2,3,2,2}),0)+IFERROR(SUMPRODUCT(INDEX('Semester 5'!$D$7:$N$54,MATCH(B44,'Semester 5'!$B$7:$B$54,0),0),{2,1,2,1,2,1,2,1,3,2,0}),0)+SUMPRODUCT(D44:L44,{2,1,2,1,2,1,3,3,3}))/105,2))</f>
        <v>1.6</v>
      </c>
      <c r="O44" s="4" t="str">
        <f t="shared" si="2"/>
        <v>Dropped</v>
      </c>
      <c r="P44" s="8"/>
    </row>
    <row r="45" spans="1:16" ht="14.25" customHeight="1">
      <c r="A45" s="4">
        <v>39</v>
      </c>
      <c r="B45" s="4" t="s">
        <v>94</v>
      </c>
      <c r="C45" s="5" t="s">
        <v>95</v>
      </c>
      <c r="D45" s="6">
        <v>3.3</v>
      </c>
      <c r="E45" s="6">
        <v>3.1</v>
      </c>
      <c r="F45" s="6">
        <v>4</v>
      </c>
      <c r="G45" s="6">
        <v>3.8</v>
      </c>
      <c r="H45" s="6">
        <v>3.7</v>
      </c>
      <c r="I45" s="6">
        <v>4</v>
      </c>
      <c r="J45" s="6">
        <v>3.1</v>
      </c>
      <c r="K45" s="6">
        <v>2.9</v>
      </c>
      <c r="L45" s="6">
        <v>4</v>
      </c>
      <c r="M45" s="6">
        <f t="shared" si="0"/>
        <v>3.49</v>
      </c>
      <c r="N45" s="6">
        <f t="array" ref="N45">IF(B45="","",ROUND((IFERROR(SUMPRODUCT(INDEX('Semester 1'!$D$7:$I$62,MATCH(B45,'Semester 1'!$B$7:$B$62,0),0),{4,3,3,3,3,0}),0)+IFERROR(SUMPRODUCT(INDEX('Semester 2'!$D$7:$I$64,MATCH(B45,'Semester 2'!$B$7:$B$64,0),0),{4,3,3,3,4,0}),0)+IFERROR(SUMPRODUCT(INDEX('Semester 3'!$D$7:$N$64,MATCH(B45,'Semester 3'!$B$7:$B$64,0),0),{3,1,2,1,2,2,1,2,1,2,2}),0)+IFERROR(SUMPRODUCT(INDEX('Semester 4'!$D$7:$M$64,MATCH(B45,'Semester 4'!$B$7:$B$64,0),0),{2,1,2,1,2,1,2,3,2,2}),0)+IFERROR(SUMPRODUCT(INDEX('Semester 5'!$D$7:$N$54,MATCH(B45,'Semester 5'!$B$7:$B$54,0),0),{2,1,2,1,2,1,2,1,3,2,0}),0)+SUMPRODUCT(D45:L45,{2,1,2,1,2,1,3,3,3}))/105,2))</f>
        <v>3.41</v>
      </c>
      <c r="O45" s="4" t="str">
        <f t="shared" si="2"/>
        <v>Promoted</v>
      </c>
      <c r="P45" s="8"/>
    </row>
    <row r="46" spans="1:16" ht="14.25" customHeight="1">
      <c r="A46" s="4">
        <v>40</v>
      </c>
      <c r="B46" s="4" t="s">
        <v>96</v>
      </c>
      <c r="C46" s="5" t="s">
        <v>97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2.5</v>
      </c>
      <c r="L46" s="6">
        <v>4</v>
      </c>
      <c r="M46" s="6">
        <f t="shared" si="0"/>
        <v>1.08</v>
      </c>
      <c r="N46" s="6">
        <f t="array" ref="N46">IF(B46="","",ROUND((IFERROR(SUMPRODUCT(INDEX('Semester 1'!$D$7:$I$62,MATCH(B46,'Semester 1'!$B$7:$B$62,0),0),{4,3,3,3,3,0}),0)+IFERROR(SUMPRODUCT(INDEX('Semester 2'!$D$7:$I$64,MATCH(B46,'Semester 2'!$B$7:$B$64,0),0),{4,3,3,3,4,0}),0)+IFERROR(SUMPRODUCT(INDEX('Semester 3'!$D$7:$N$64,MATCH(B46,'Semester 3'!$B$7:$B$64,0),0),{3,1,2,1,2,2,1,2,1,2,2}),0)+IFERROR(SUMPRODUCT(INDEX('Semester 4'!$D$7:$M$64,MATCH(B46,'Semester 4'!$B$7:$B$64,0),0),{2,1,2,1,2,1,2,3,2,2}),0)+IFERROR(SUMPRODUCT(INDEX('Semester 5'!$D$7:$N$54,MATCH(B46,'Semester 5'!$B$7:$B$54,0),0),{2,1,2,1,2,1,2,1,3,2,0}),0)+SUMPRODUCT(D46:L46,{2,1,2,1,2,1,3,3,3}))/105,2))</f>
        <v>2.71</v>
      </c>
      <c r="O46" s="4" t="str">
        <f t="shared" si="2"/>
        <v>Promoted</v>
      </c>
      <c r="P46" s="8"/>
    </row>
    <row r="47" spans="1:16" ht="14.25" customHeight="1">
      <c r="A47" s="4">
        <v>41</v>
      </c>
      <c r="B47" s="4" t="s">
        <v>98</v>
      </c>
      <c r="C47" s="5" t="s">
        <v>99</v>
      </c>
      <c r="D47" s="6">
        <v>3</v>
      </c>
      <c r="E47" s="6">
        <v>2.9</v>
      </c>
      <c r="F47" s="6">
        <v>3.3</v>
      </c>
      <c r="G47" s="6">
        <v>3.3</v>
      </c>
      <c r="H47" s="6">
        <v>4</v>
      </c>
      <c r="I47" s="6">
        <v>4</v>
      </c>
      <c r="J47" s="6">
        <v>4</v>
      </c>
      <c r="K47" s="6">
        <v>3.3</v>
      </c>
      <c r="L47" s="6">
        <v>3.7</v>
      </c>
      <c r="M47" s="6">
        <f t="shared" si="0"/>
        <v>3.54</v>
      </c>
      <c r="N47" s="6">
        <f t="array" ref="N47">IF(B47="","",ROUND((IFERROR(SUMPRODUCT(INDEX('Semester 1'!$D$7:$I$62,MATCH(B47,'Semester 1'!$B$7:$B$62,0),0),{4,3,3,3,3,0}),0)+IFERROR(SUMPRODUCT(INDEX('Semester 2'!$D$7:$I$64,MATCH(B47,'Semester 2'!$B$7:$B$64,0),0),{4,3,3,3,4,0}),0)+IFERROR(SUMPRODUCT(INDEX('Semester 3'!$D$7:$N$64,MATCH(B47,'Semester 3'!$B$7:$B$64,0),0),{3,1,2,1,2,2,1,2,1,2,2}),0)+IFERROR(SUMPRODUCT(INDEX('Semester 4'!$D$7:$M$64,MATCH(B47,'Semester 4'!$B$7:$B$64,0),0),{2,1,2,1,2,1,2,3,2,2}),0)+IFERROR(SUMPRODUCT(INDEX('Semester 5'!$D$7:$N$54,MATCH(B47,'Semester 5'!$B$7:$B$54,0),0),{2,1,2,1,2,1,2,1,3,2,0}),0)+SUMPRODUCT(D47:L47,{2,1,2,1,2,1,3,3,3}))/105,2))</f>
        <v>3.4</v>
      </c>
      <c r="O47" s="4" t="str">
        <f t="shared" si="2"/>
        <v>Promoted</v>
      </c>
      <c r="P47" s="8"/>
    </row>
    <row r="48" spans="1:16" ht="14.25" customHeight="1">
      <c r="A48" s="4">
        <v>42</v>
      </c>
      <c r="B48" s="4" t="s">
        <v>100</v>
      </c>
      <c r="C48" s="5" t="s">
        <v>101</v>
      </c>
      <c r="D48" s="6">
        <v>2.1</v>
      </c>
      <c r="E48" s="6">
        <v>2</v>
      </c>
      <c r="F48" s="6">
        <v>2.5</v>
      </c>
      <c r="G48" s="6">
        <v>3.4</v>
      </c>
      <c r="H48" s="6">
        <v>2.7</v>
      </c>
      <c r="I48" s="6">
        <v>4</v>
      </c>
      <c r="J48" s="6">
        <v>2.7</v>
      </c>
      <c r="K48" s="6">
        <v>3.3</v>
      </c>
      <c r="L48" s="6">
        <v>2.6</v>
      </c>
      <c r="M48" s="6">
        <f t="shared" si="0"/>
        <v>2.77</v>
      </c>
      <c r="N48" s="6">
        <f t="array" ref="N48">IF(B48="","",ROUND((IFERROR(SUMPRODUCT(INDEX('Semester 1'!$D$7:$I$62,MATCH(B48,'Semester 1'!$B$7:$B$62,0),0),{4,3,3,3,3,0}),0)+IFERROR(SUMPRODUCT(INDEX('Semester 2'!$D$7:$I$64,MATCH(B48,'Semester 2'!$B$7:$B$64,0),0),{4,3,3,3,4,0}),0)+IFERROR(SUMPRODUCT(INDEX('Semester 3'!$D$7:$N$64,MATCH(B48,'Semester 3'!$B$7:$B$64,0),0),{3,1,2,1,2,2,1,2,1,2,2}),0)+IFERROR(SUMPRODUCT(INDEX('Semester 4'!$D$7:$M$64,MATCH(B48,'Semester 4'!$B$7:$B$64,0),0),{2,1,2,1,2,1,2,3,2,2}),0)+IFERROR(SUMPRODUCT(INDEX('Semester 5'!$D$7:$N$54,MATCH(B48,'Semester 5'!$B$7:$B$54,0),0),{2,1,2,1,2,1,2,1,3,2,0}),0)+SUMPRODUCT(D48:L48,{2,1,2,1,2,1,3,3,3}))/105,2))</f>
        <v>2.83</v>
      </c>
      <c r="O48" s="4" t="str">
        <f t="shared" si="2"/>
        <v>Promoted</v>
      </c>
      <c r="P48" s="8"/>
    </row>
    <row r="49" spans="1:16" ht="14.25" customHeight="1">
      <c r="A49" s="4">
        <v>43</v>
      </c>
      <c r="B49" s="4" t="s">
        <v>102</v>
      </c>
      <c r="C49" s="5" t="s">
        <v>103</v>
      </c>
      <c r="D49" s="6">
        <v>2.7</v>
      </c>
      <c r="E49" s="6">
        <v>2.7</v>
      </c>
      <c r="F49" s="6">
        <v>3</v>
      </c>
      <c r="G49" s="6">
        <v>3.5</v>
      </c>
      <c r="H49" s="6">
        <v>3</v>
      </c>
      <c r="I49" s="6">
        <v>4</v>
      </c>
      <c r="J49" s="6">
        <v>2.9</v>
      </c>
      <c r="K49" s="6">
        <v>4</v>
      </c>
      <c r="L49" s="6">
        <v>3.3</v>
      </c>
      <c r="M49" s="6">
        <f t="shared" si="0"/>
        <v>3.23</v>
      </c>
      <c r="N49" s="6">
        <f t="array" ref="N49">IF(B49="","",ROUND((IFERROR(SUMPRODUCT(INDEX('Semester 1'!$D$7:$I$62,MATCH(B49,'Semester 1'!$B$7:$B$62,0),0),{4,3,3,3,3,0}),0)+IFERROR(SUMPRODUCT(INDEX('Semester 2'!$D$7:$I$64,MATCH(B49,'Semester 2'!$B$7:$B$64,0),0),{4,3,3,3,4,0}),0)+IFERROR(SUMPRODUCT(INDEX('Semester 3'!$D$7:$N$64,MATCH(B49,'Semester 3'!$B$7:$B$64,0),0),{3,1,2,1,2,2,1,2,1,2,2}),0)+IFERROR(SUMPRODUCT(INDEX('Semester 4'!$D$7:$M$64,MATCH(B49,'Semester 4'!$B$7:$B$64,0),0),{2,1,2,1,2,1,2,3,2,2}),0)+IFERROR(SUMPRODUCT(INDEX('Semester 5'!$D$7:$N$54,MATCH(B49,'Semester 5'!$B$7:$B$54,0),0),{2,1,2,1,2,1,2,1,3,2,0}),0)+SUMPRODUCT(D49:L49,{2,1,2,1,2,1,3,3,3}))/105,2))</f>
        <v>3</v>
      </c>
      <c r="O49" s="4" t="str">
        <f t="shared" si="2"/>
        <v>Promoted</v>
      </c>
      <c r="P49" s="8"/>
    </row>
    <row r="50" spans="1:16" ht="14.25" customHeight="1">
      <c r="A50" s="4">
        <v>44</v>
      </c>
      <c r="B50" s="4" t="s">
        <v>104</v>
      </c>
      <c r="C50" s="5" t="s">
        <v>105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f t="shared" si="0"/>
        <v>0</v>
      </c>
      <c r="N50" s="6">
        <f t="array" ref="N50">IF(B50="","",ROUND((IFERROR(SUMPRODUCT(INDEX('Semester 1'!$D$7:$I$62,MATCH(B50,'Semester 1'!$B$7:$B$62,0),0),{4,3,3,3,3,0}),0)+IFERROR(SUMPRODUCT(INDEX('Semester 2'!$D$7:$I$64,MATCH(B50,'Semester 2'!$B$7:$B$64,0),0),{4,3,3,3,4,0}),0)+IFERROR(SUMPRODUCT(INDEX('Semester 3'!$D$7:$N$64,MATCH(B50,'Semester 3'!$B$7:$B$64,0),0),{3,1,2,1,2,2,1,2,1,2,2}),0)+IFERROR(SUMPRODUCT(INDEX('Semester 4'!$D$7:$M$64,MATCH(B50,'Semester 4'!$B$7:$B$64,0),0),{2,1,2,1,2,1,2,3,2,2}),0)+IFERROR(SUMPRODUCT(INDEX('Semester 5'!$D$7:$N$54,MATCH(B50,'Semester 5'!$B$7:$B$54,0),0),{2,1,2,1,2,1,2,1,3,2,0}),0)+SUMPRODUCT(D50:L50,{2,1,2,1,2,1,3,3,3}))/105,2))</f>
        <v>0.48</v>
      </c>
      <c r="O50" s="4" t="str">
        <f t="shared" si="2"/>
        <v>Dropped</v>
      </c>
      <c r="P50" s="8"/>
    </row>
    <row r="51" spans="1:16" ht="14.25" customHeight="1">
      <c r="A51" s="4">
        <v>45</v>
      </c>
      <c r="B51" s="4" t="s">
        <v>106</v>
      </c>
      <c r="C51" s="5" t="s">
        <v>107</v>
      </c>
      <c r="D51" s="6">
        <v>3.3</v>
      </c>
      <c r="E51" s="6">
        <v>3.2</v>
      </c>
      <c r="F51" s="6">
        <v>2.7</v>
      </c>
      <c r="G51" s="6">
        <v>3.1</v>
      </c>
      <c r="H51" s="6">
        <v>2.7</v>
      </c>
      <c r="I51" s="6">
        <v>3.3</v>
      </c>
      <c r="J51" s="6">
        <v>2.9</v>
      </c>
      <c r="K51" s="6">
        <v>3.3</v>
      </c>
      <c r="L51" s="6">
        <v>3.3</v>
      </c>
      <c r="M51" s="6">
        <f t="shared" si="0"/>
        <v>3.08</v>
      </c>
      <c r="N51" s="6">
        <f t="array" ref="N51">IF(B51="","",ROUND((IFERROR(SUMPRODUCT(INDEX('Semester 1'!$D$7:$I$62,MATCH(B51,'Semester 1'!$B$7:$B$62,0),0),{4,3,3,3,3,0}),0)+IFERROR(SUMPRODUCT(INDEX('Semester 2'!$D$7:$I$64,MATCH(B51,'Semester 2'!$B$7:$B$64,0),0),{4,3,3,3,4,0}),0)+IFERROR(SUMPRODUCT(INDEX('Semester 3'!$D$7:$N$64,MATCH(B51,'Semester 3'!$B$7:$B$64,0),0),{3,1,2,1,2,2,1,2,1,2,2}),0)+IFERROR(SUMPRODUCT(INDEX('Semester 4'!$D$7:$M$64,MATCH(B51,'Semester 4'!$B$7:$B$64,0),0),{2,1,2,1,2,1,2,3,2,2}),0)+IFERROR(SUMPRODUCT(INDEX('Semester 5'!$D$7:$N$54,MATCH(B51,'Semester 5'!$B$7:$B$54,0),0),{2,1,2,1,2,1,2,1,3,2,0}),0)+SUMPRODUCT(D51:L51,{2,1,2,1,2,1,3,3,3}))/105,2))</f>
        <v>3.31</v>
      </c>
      <c r="O51" s="4" t="str">
        <f t="shared" si="2"/>
        <v>Promoted</v>
      </c>
      <c r="P51" s="8"/>
    </row>
    <row r="52" spans="1:16" ht="14.25" customHeight="1">
      <c r="A52" s="4">
        <v>46</v>
      </c>
      <c r="B52" s="4" t="s">
        <v>108</v>
      </c>
      <c r="C52" s="5" t="s">
        <v>109</v>
      </c>
      <c r="D52" s="6">
        <v>3.1</v>
      </c>
      <c r="E52" s="6">
        <v>3.2</v>
      </c>
      <c r="F52" s="6">
        <v>3.4</v>
      </c>
      <c r="G52" s="6">
        <v>3.1</v>
      </c>
      <c r="H52" s="6">
        <v>2.7</v>
      </c>
      <c r="I52" s="6">
        <v>3.3</v>
      </c>
      <c r="J52" s="6">
        <v>3.7</v>
      </c>
      <c r="K52" s="6">
        <v>3.2</v>
      </c>
      <c r="L52" s="6">
        <v>3.9</v>
      </c>
      <c r="M52" s="6">
        <f t="shared" si="0"/>
        <v>3.36</v>
      </c>
      <c r="N52" s="6">
        <f t="array" ref="N52">IF(B52="","",ROUND((IFERROR(SUMPRODUCT(INDEX('Semester 1'!$D$7:$I$62,MATCH(B52,'Semester 1'!$B$7:$B$62,0),0),{4,3,3,3,3,0}),0)+IFERROR(SUMPRODUCT(INDEX('Semester 2'!$D$7:$I$64,MATCH(B52,'Semester 2'!$B$7:$B$64,0),0),{4,3,3,3,4,0}),0)+IFERROR(SUMPRODUCT(INDEX('Semester 3'!$D$7:$N$64,MATCH(B52,'Semester 3'!$B$7:$B$64,0),0),{3,1,2,1,2,2,1,2,1,2,2}),0)+IFERROR(SUMPRODUCT(INDEX('Semester 4'!$D$7:$M$64,MATCH(B52,'Semester 4'!$B$7:$B$64,0),0),{2,1,2,1,2,1,2,3,2,2}),0)+IFERROR(SUMPRODUCT(INDEX('Semester 5'!$D$7:$N$54,MATCH(B52,'Semester 5'!$B$7:$B$54,0),0),{2,1,2,1,2,1,2,1,3,2,0}),0)+SUMPRODUCT(D52:L52,{2,1,2,1,2,1,3,3,3}))/105,2))</f>
        <v>2.96</v>
      </c>
      <c r="O52" s="4" t="str">
        <f t="shared" si="2"/>
        <v>Promoted</v>
      </c>
      <c r="P52" s="8"/>
    </row>
    <row r="53" spans="1:16" ht="14.25" customHeight="1">
      <c r="A53" s="4">
        <v>47</v>
      </c>
      <c r="B53" s="4" t="s">
        <v>110</v>
      </c>
      <c r="C53" s="5" t="s">
        <v>111</v>
      </c>
      <c r="D53" s="6">
        <v>3.2</v>
      </c>
      <c r="E53" s="6">
        <v>3</v>
      </c>
      <c r="F53" s="6">
        <v>3.3</v>
      </c>
      <c r="G53" s="6">
        <v>3.1</v>
      </c>
      <c r="H53" s="6">
        <v>3.5</v>
      </c>
      <c r="I53" s="6">
        <v>4</v>
      </c>
      <c r="J53" s="6">
        <v>3.3</v>
      </c>
      <c r="K53" s="6">
        <v>3.3</v>
      </c>
      <c r="L53" s="6">
        <v>3.9</v>
      </c>
      <c r="M53" s="6">
        <f t="shared" si="0"/>
        <v>3.42</v>
      </c>
      <c r="N53" s="6">
        <f t="array" ref="N53">IF(B53="","",ROUND((IFERROR(SUMPRODUCT(INDEX('Semester 1'!$D$7:$I$62,MATCH(B53,'Semester 1'!$B$7:$B$62,0),0),{4,3,3,3,3,0}),0)+IFERROR(SUMPRODUCT(INDEX('Semester 2'!$D$7:$I$64,MATCH(B53,'Semester 2'!$B$7:$B$64,0),0),{4,3,3,3,4,0}),0)+IFERROR(SUMPRODUCT(INDEX('Semester 3'!$D$7:$N$64,MATCH(B53,'Semester 3'!$B$7:$B$64,0),0),{3,1,2,1,2,2,1,2,1,2,2}),0)+IFERROR(SUMPRODUCT(INDEX('Semester 4'!$D$7:$M$64,MATCH(B53,'Semester 4'!$B$7:$B$64,0),0),{2,1,2,1,2,1,2,3,2,2}),0)+IFERROR(SUMPRODUCT(INDEX('Semester 5'!$D$7:$N$54,MATCH(B53,'Semester 5'!$B$7:$B$54,0),0),{2,1,2,1,2,1,2,1,3,2,0}),0)+SUMPRODUCT(D53:L53,{2,1,2,1,2,1,3,3,3}))/105,2))</f>
        <v>3.3</v>
      </c>
      <c r="O53" s="4" t="str">
        <f t="shared" si="2"/>
        <v>Promoted</v>
      </c>
      <c r="P53" s="8"/>
    </row>
    <row r="54" spans="1:16" ht="14.25" customHeight="1">
      <c r="A54" s="4">
        <v>48</v>
      </c>
      <c r="B54" s="4" t="s">
        <v>112</v>
      </c>
      <c r="C54" s="5" t="s">
        <v>113</v>
      </c>
      <c r="D54" s="6">
        <v>2.8</v>
      </c>
      <c r="E54" s="6">
        <v>2.7</v>
      </c>
      <c r="F54" s="6">
        <v>3.4</v>
      </c>
      <c r="G54" s="6">
        <v>3.1</v>
      </c>
      <c r="H54" s="6">
        <v>2.9</v>
      </c>
      <c r="I54" s="6">
        <v>4</v>
      </c>
      <c r="J54" s="6">
        <v>2.4</v>
      </c>
      <c r="K54" s="6">
        <v>2.1</v>
      </c>
      <c r="L54" s="6">
        <v>3.6</v>
      </c>
      <c r="M54" s="6">
        <f t="shared" si="0"/>
        <v>2.91</v>
      </c>
      <c r="N54" s="6">
        <f t="array" ref="N54">IF(B54="","",ROUND((IFERROR(SUMPRODUCT(INDEX('Semester 1'!$D$7:$I$62,MATCH(B54,'Semester 1'!$B$7:$B$62,0),0),{4,3,3,3,3,0}),0)+IFERROR(SUMPRODUCT(INDEX('Semester 2'!$D$7:$I$64,MATCH(B54,'Semester 2'!$B$7:$B$64,0),0),{4,3,3,3,4,0}),0)+IFERROR(SUMPRODUCT(INDEX('Semester 3'!$D$7:$N$64,MATCH(B54,'Semester 3'!$B$7:$B$64,0),0),{3,1,2,1,2,2,1,2,1,2,2}),0)+IFERROR(SUMPRODUCT(INDEX('Semester 4'!$D$7:$M$64,MATCH(B54,'Semester 4'!$B$7:$B$64,0),0),{2,1,2,1,2,1,2,3,2,2}),0)+IFERROR(SUMPRODUCT(INDEX('Semester 5'!$D$7:$N$54,MATCH(B54,'Semester 5'!$B$7:$B$54,0),0),{2,1,2,1,2,1,2,1,3,2,0}),0)+SUMPRODUCT(D54:L54,{2,1,2,1,2,1,3,3,3}))/105,2))</f>
        <v>2.96</v>
      </c>
      <c r="O54" s="4" t="str">
        <f t="shared" si="2"/>
        <v>Promoted</v>
      </c>
      <c r="P54" s="8"/>
    </row>
    <row r="55" spans="1:16" ht="14.25" customHeight="1">
      <c r="A55" s="4">
        <v>49</v>
      </c>
      <c r="B55" s="4" t="s">
        <v>114</v>
      </c>
      <c r="C55" s="5" t="s">
        <v>115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f t="shared" si="0"/>
        <v>0</v>
      </c>
      <c r="N55" s="6">
        <f t="array" ref="N55">IF(B55="","",ROUND((IFERROR(SUMPRODUCT(INDEX('Semester 1'!$D$7:$I$62,MATCH(B55,'Semester 1'!$B$7:$B$62,0),0),{4,3,3,3,3,0}),0)+IFERROR(SUMPRODUCT(INDEX('Semester 2'!$D$7:$I$64,MATCH(B55,'Semester 2'!$B$7:$B$64,0),0),{4,3,3,3,4,0}),0)+IFERROR(SUMPRODUCT(INDEX('Semester 3'!$D$7:$N$64,MATCH(B55,'Semester 3'!$B$7:$B$64,0),0),{3,1,2,1,2,2,1,2,1,2,2}),0)+IFERROR(SUMPRODUCT(INDEX('Semester 4'!$D$7:$M$64,MATCH(B55,'Semester 4'!$B$7:$B$64,0),0),{2,1,2,1,2,1,2,3,2,2}),0)+IFERROR(SUMPRODUCT(INDEX('Semester 5'!$D$7:$N$54,MATCH(B55,'Semester 5'!$B$7:$B$54,0),0),{2,1,2,1,2,1,2,1,3,2,0}),0)+SUMPRODUCT(D55:L55,{2,1,2,1,2,1,3,3,3}))/105,2))</f>
        <v>0</v>
      </c>
      <c r="O55" s="4" t="str">
        <f t="shared" si="2"/>
        <v>Dropped</v>
      </c>
      <c r="P55" s="8"/>
    </row>
    <row r="56" spans="1:16" ht="14.25" customHeight="1">
      <c r="A56" s="4">
        <v>50</v>
      </c>
      <c r="B56" s="4" t="s">
        <v>116</v>
      </c>
      <c r="C56" s="5" t="s">
        <v>117</v>
      </c>
      <c r="D56" s="6">
        <v>3.1</v>
      </c>
      <c r="E56" s="6">
        <v>2.9</v>
      </c>
      <c r="F56" s="6">
        <v>3.6</v>
      </c>
      <c r="G56" s="6">
        <v>3.3</v>
      </c>
      <c r="H56" s="6">
        <v>3.5</v>
      </c>
      <c r="I56" s="6">
        <v>4</v>
      </c>
      <c r="J56" s="6">
        <v>3.3</v>
      </c>
      <c r="K56" s="6">
        <v>4</v>
      </c>
      <c r="L56" s="6">
        <v>4</v>
      </c>
      <c r="M56" s="6">
        <f t="shared" si="0"/>
        <v>3.58</v>
      </c>
      <c r="N56" s="6">
        <f t="array" ref="N56">IF(B56="","",ROUND((IFERROR(SUMPRODUCT(INDEX('Semester 1'!$D$7:$I$62,MATCH(B56,'Semester 1'!$B$7:$B$62,0),0),{4,3,3,3,3,0}),0)+IFERROR(SUMPRODUCT(INDEX('Semester 2'!$D$7:$I$64,MATCH(B56,'Semester 2'!$B$7:$B$64,0),0),{4,3,3,3,4,0}),0)+IFERROR(SUMPRODUCT(INDEX('Semester 3'!$D$7:$N$64,MATCH(B56,'Semester 3'!$B$7:$B$64,0),0),{3,1,2,1,2,2,1,2,1,2,2}),0)+IFERROR(SUMPRODUCT(INDEX('Semester 4'!$D$7:$M$64,MATCH(B56,'Semester 4'!$B$7:$B$64,0),0),{2,1,2,1,2,1,2,3,2,2}),0)+IFERROR(SUMPRODUCT(INDEX('Semester 5'!$D$7:$N$54,MATCH(B56,'Semester 5'!$B$7:$B$54,0),0),{2,1,2,1,2,1,2,1,3,2,0}),0)+SUMPRODUCT(D56:L56,{2,1,2,1,2,1,3,3,3}))/105,2))</f>
        <v>3.33</v>
      </c>
      <c r="O56" s="4" t="str">
        <f t="shared" si="2"/>
        <v>Promoted</v>
      </c>
      <c r="P56" s="8"/>
    </row>
    <row r="57" spans="1:16" ht="14.25" customHeight="1">
      <c r="A57" s="4">
        <v>51</v>
      </c>
      <c r="B57" s="4" t="s">
        <v>118</v>
      </c>
      <c r="C57" s="5" t="s">
        <v>119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f t="shared" si="0"/>
        <v>0</v>
      </c>
      <c r="N57" s="6">
        <f t="array" ref="N57">IF(B57="","",ROUND((IFERROR(SUMPRODUCT(INDEX('Semester 1'!$D$7:$I$62,MATCH(B57,'Semester 1'!$B$7:$B$62,0),0),{4,3,3,3,3,0}),0)+IFERROR(SUMPRODUCT(INDEX('Semester 2'!$D$7:$I$64,MATCH(B57,'Semester 2'!$B$7:$B$64,0),0),{4,3,3,3,4,0}),0)+IFERROR(SUMPRODUCT(INDEX('Semester 3'!$D$7:$N$64,MATCH(B57,'Semester 3'!$B$7:$B$64,0),0),{3,1,2,1,2,2,1,2,1,2,2}),0)+IFERROR(SUMPRODUCT(INDEX('Semester 4'!$D$7:$M$64,MATCH(B57,'Semester 4'!$B$7:$B$64,0),0),{2,1,2,1,2,1,2,3,2,2}),0)+IFERROR(SUMPRODUCT(INDEX('Semester 5'!$D$7:$N$54,MATCH(B57,'Semester 5'!$B$7:$B$54,0),0),{2,1,2,1,2,1,2,1,3,2,0}),0)+SUMPRODUCT(D57:L57,{2,1,2,1,2,1,3,3,3}))/105,2))</f>
        <v>1.84</v>
      </c>
      <c r="O57" s="4" t="str">
        <f t="shared" si="2"/>
        <v>Dropped</v>
      </c>
      <c r="P57" s="8"/>
    </row>
    <row r="58" spans="1:16" ht="14.25" customHeight="1">
      <c r="A58" s="4">
        <v>52</v>
      </c>
      <c r="B58" s="4" t="s">
        <v>120</v>
      </c>
      <c r="C58" s="5" t="s">
        <v>121</v>
      </c>
      <c r="D58" s="6">
        <v>3.2</v>
      </c>
      <c r="E58" s="6">
        <v>3</v>
      </c>
      <c r="F58" s="6">
        <v>4</v>
      </c>
      <c r="G58" s="6">
        <v>4</v>
      </c>
      <c r="H58" s="6">
        <v>4</v>
      </c>
      <c r="I58" s="6">
        <v>4</v>
      </c>
      <c r="J58" s="6">
        <v>3.4</v>
      </c>
      <c r="K58" s="6">
        <v>2.7</v>
      </c>
      <c r="L58" s="6">
        <v>3.7</v>
      </c>
      <c r="M58" s="6">
        <f t="shared" si="0"/>
        <v>3.49</v>
      </c>
      <c r="N58" s="6">
        <f t="array" ref="N58">IF(B58="","",ROUND((IFERROR(SUMPRODUCT(INDEX('Semester 1'!$D$7:$I$62,MATCH(B58,'Semester 1'!$B$7:$B$62,0),0),{4,3,3,3,3,0}),0)+IFERROR(SUMPRODUCT(INDEX('Semester 2'!$D$7:$I$64,MATCH(B58,'Semester 2'!$B$7:$B$64,0),0),{4,3,3,3,4,0}),0)+IFERROR(SUMPRODUCT(INDEX('Semester 3'!$D$7:$N$64,MATCH(B58,'Semester 3'!$B$7:$B$64,0),0),{3,1,2,1,2,2,1,2,1,2,2}),0)+IFERROR(SUMPRODUCT(INDEX('Semester 4'!$D$7:$M$64,MATCH(B58,'Semester 4'!$B$7:$B$64,0),0),{2,1,2,1,2,1,2,3,2,2}),0)+IFERROR(SUMPRODUCT(INDEX('Semester 5'!$D$7:$N$54,MATCH(B58,'Semester 5'!$B$7:$B$54,0),0),{2,1,2,1,2,1,2,1,3,2,0}),0)+SUMPRODUCT(D58:L58,{2,1,2,1,2,1,3,3,3}))/105,2))</f>
        <v>3.52</v>
      </c>
      <c r="O58" s="4" t="str">
        <f t="shared" si="2"/>
        <v>Promoted</v>
      </c>
      <c r="P58" s="8"/>
    </row>
    <row r="59" spans="1:16" ht="14.25" customHeight="1">
      <c r="A59" s="4">
        <v>53</v>
      </c>
      <c r="B59" s="4" t="s">
        <v>122</v>
      </c>
      <c r="C59" s="5" t="s">
        <v>123</v>
      </c>
      <c r="D59" s="6">
        <v>3.1</v>
      </c>
      <c r="E59" s="6">
        <v>3.1</v>
      </c>
      <c r="F59" s="6">
        <v>2.7</v>
      </c>
      <c r="G59" s="6">
        <v>3.2</v>
      </c>
      <c r="H59" s="6">
        <v>2.6</v>
      </c>
      <c r="I59" s="6">
        <v>4</v>
      </c>
      <c r="J59" s="6">
        <v>3.7</v>
      </c>
      <c r="K59" s="6">
        <v>2.9</v>
      </c>
      <c r="L59" s="6">
        <v>3.4</v>
      </c>
      <c r="M59" s="6">
        <f t="shared" si="0"/>
        <v>3.17</v>
      </c>
      <c r="N59" s="6">
        <f t="array" ref="N59">IF(B59="","",ROUND((IFERROR(SUMPRODUCT(INDEX('Semester 1'!$D$7:$I$62,MATCH(B59,'Semester 1'!$B$7:$B$62,0),0),{4,3,3,3,3,0}),0)+IFERROR(SUMPRODUCT(INDEX('Semester 2'!$D$7:$I$64,MATCH(B59,'Semester 2'!$B$7:$B$64,0),0),{4,3,3,3,4,0}),0)+IFERROR(SUMPRODUCT(INDEX('Semester 3'!$D$7:$N$64,MATCH(B59,'Semester 3'!$B$7:$B$64,0),0),{3,1,2,1,2,2,1,2,1,2,2}),0)+IFERROR(SUMPRODUCT(INDEX('Semester 4'!$D$7:$M$64,MATCH(B59,'Semester 4'!$B$7:$B$64,0),0),{2,1,2,1,2,1,2,3,2,2}),0)+IFERROR(SUMPRODUCT(INDEX('Semester 5'!$D$7:$N$54,MATCH(B59,'Semester 5'!$B$7:$B$54,0),0),{2,1,2,1,2,1,2,1,3,2,0}),0)+SUMPRODUCT(D59:L59,{2,1,2,1,2,1,3,3,3}))/105,2))</f>
        <v>3.18</v>
      </c>
      <c r="O59" s="4" t="str">
        <f t="shared" si="2"/>
        <v>Promoted</v>
      </c>
      <c r="P59" s="8"/>
    </row>
    <row r="60" spans="1:16" ht="14.25" customHeight="1">
      <c r="A60" s="4">
        <v>54</v>
      </c>
      <c r="B60" s="4" t="s">
        <v>124</v>
      </c>
      <c r="C60" s="5" t="s">
        <v>125</v>
      </c>
      <c r="D60" s="6">
        <v>3.2</v>
      </c>
      <c r="E60" s="6">
        <v>3.1</v>
      </c>
      <c r="F60" s="6">
        <v>3</v>
      </c>
      <c r="G60" s="6">
        <v>3.4</v>
      </c>
      <c r="H60" s="6">
        <v>4</v>
      </c>
      <c r="I60" s="6">
        <v>4</v>
      </c>
      <c r="J60" s="6">
        <v>3.7</v>
      </c>
      <c r="K60" s="6">
        <v>4</v>
      </c>
      <c r="L60" s="6">
        <v>3.7</v>
      </c>
      <c r="M60" s="6">
        <f t="shared" si="0"/>
        <v>3.62</v>
      </c>
      <c r="N60" s="6">
        <f t="array" ref="N60">IF(B60="","",ROUND((IFERROR(SUMPRODUCT(INDEX('Semester 1'!$D$7:$I$62,MATCH(B60,'Semester 1'!$B$7:$B$62,0),0),{4,3,3,3,3,0}),0)+IFERROR(SUMPRODUCT(INDEX('Semester 2'!$D$7:$I$64,MATCH(B60,'Semester 2'!$B$7:$B$64,0),0),{4,3,3,3,4,0}),0)+IFERROR(SUMPRODUCT(INDEX('Semester 3'!$D$7:$N$64,MATCH(B60,'Semester 3'!$B$7:$B$64,0),0),{3,1,2,1,2,2,1,2,1,2,2}),0)+IFERROR(SUMPRODUCT(INDEX('Semester 4'!$D$7:$M$64,MATCH(B60,'Semester 4'!$B$7:$B$64,0),0),{2,1,2,1,2,1,2,3,2,2}),0)+IFERROR(SUMPRODUCT(INDEX('Semester 5'!$D$7:$N$54,MATCH(B60,'Semester 5'!$B$7:$B$54,0),0),{2,1,2,1,2,1,2,1,3,2,0}),0)+SUMPRODUCT(D60:L60,{2,1,2,1,2,1,3,3,3}))/105,2))</f>
        <v>3.53</v>
      </c>
      <c r="O60" s="4" t="str">
        <f t="shared" si="2"/>
        <v>Promoted</v>
      </c>
      <c r="P60" s="8"/>
    </row>
    <row r="61" spans="1:16" ht="14.25" customHeight="1">
      <c r="A61" s="4">
        <v>55</v>
      </c>
      <c r="B61" s="4" t="s">
        <v>126</v>
      </c>
      <c r="C61" s="5" t="s">
        <v>127</v>
      </c>
      <c r="D61" s="6">
        <v>3.3</v>
      </c>
      <c r="E61" s="6">
        <v>3.2</v>
      </c>
      <c r="F61" s="6">
        <v>3.3</v>
      </c>
      <c r="G61" s="6">
        <v>3.7</v>
      </c>
      <c r="H61" s="6">
        <v>3.5</v>
      </c>
      <c r="I61" s="6">
        <v>4</v>
      </c>
      <c r="J61" s="6">
        <v>3.4</v>
      </c>
      <c r="K61" s="6">
        <v>2.9</v>
      </c>
      <c r="L61" s="6">
        <v>3.8</v>
      </c>
      <c r="M61" s="6">
        <f t="shared" si="0"/>
        <v>3.41</v>
      </c>
      <c r="N61" s="6">
        <f t="array" ref="N61">IF(B61="","",ROUND((IFERROR(SUMPRODUCT(INDEX('Semester 1'!$D$7:$I$62,MATCH(B61,'Semester 1'!$B$7:$B$62,0),0),{4,3,3,3,3,0}),0)+IFERROR(SUMPRODUCT(INDEX('Semester 2'!$D$7:$I$64,MATCH(B61,'Semester 2'!$B$7:$B$64,0),0),{4,3,3,3,4,0}),0)+IFERROR(SUMPRODUCT(INDEX('Semester 3'!$D$7:$N$64,MATCH(B61,'Semester 3'!$B$7:$B$64,0),0),{3,1,2,1,2,2,1,2,1,2,2}),0)+IFERROR(SUMPRODUCT(INDEX('Semester 4'!$D$7:$M$64,MATCH(B61,'Semester 4'!$B$7:$B$64,0),0),{2,1,2,1,2,1,2,3,2,2}),0)+IFERROR(SUMPRODUCT(INDEX('Semester 5'!$D$7:$N$54,MATCH(B61,'Semester 5'!$B$7:$B$54,0),0),{2,1,2,1,2,1,2,1,3,2,0}),0)+SUMPRODUCT(D61:L61,{2,1,2,1,2,1,3,3,3}))/105,2))</f>
        <v>2.98</v>
      </c>
      <c r="O61" s="4" t="str">
        <f t="shared" si="2"/>
        <v>Promoted</v>
      </c>
      <c r="P61" s="8"/>
    </row>
    <row r="62" spans="1:16" ht="14.25" customHeight="1">
      <c r="A62" s="4">
        <v>56</v>
      </c>
      <c r="B62" s="4" t="s">
        <v>128</v>
      </c>
      <c r="C62" s="5" t="s">
        <v>129</v>
      </c>
      <c r="D62" s="6">
        <v>3.1</v>
      </c>
      <c r="E62" s="6">
        <v>3</v>
      </c>
      <c r="F62" s="6">
        <v>2.9</v>
      </c>
      <c r="G62" s="6">
        <v>3.2</v>
      </c>
      <c r="H62" s="6">
        <v>3.9</v>
      </c>
      <c r="I62" s="6">
        <v>2.7</v>
      </c>
      <c r="J62" s="6">
        <v>3.3</v>
      </c>
      <c r="K62" s="6">
        <v>3.3</v>
      </c>
      <c r="L62" s="6">
        <v>3.3</v>
      </c>
      <c r="M62" s="6">
        <f t="shared" si="0"/>
        <v>3.24</v>
      </c>
      <c r="N62" s="6">
        <f t="array" ref="N62">IF(B62="","",ROUND((IFERROR(SUMPRODUCT(INDEX('Semester 1'!$D$7:$I$62,MATCH(B62,'Semester 1'!$B$7:$B$62,0),0),{4,3,3,3,3,0}),0)+IFERROR(SUMPRODUCT(INDEX('Semester 2'!$D$7:$I$64,MATCH(B62,'Semester 2'!$B$7:$B$64,0),0),{4,3,3,3,4,0}),0)+IFERROR(SUMPRODUCT(INDEX('Semester 3'!$D$7:$N$64,MATCH(B62,'Semester 3'!$B$7:$B$64,0),0),{3,1,2,1,2,2,1,2,1,2,2}),0)+IFERROR(SUMPRODUCT(INDEX('Semester 4'!$D$7:$M$64,MATCH(B62,'Semester 4'!$B$7:$B$64,0),0),{2,1,2,1,2,1,2,3,2,2}),0)+IFERROR(SUMPRODUCT(INDEX('Semester 5'!$D$7:$N$54,MATCH(B62,'Semester 5'!$B$7:$B$54,0),0),{2,1,2,1,2,1,2,1,3,2,0}),0)+SUMPRODUCT(D62:L62,{2,1,2,1,2,1,3,3,3}))/105,2))</f>
        <v>3.14</v>
      </c>
      <c r="O62" s="4" t="str">
        <f t="shared" si="2"/>
        <v>Promoted</v>
      </c>
      <c r="P62" s="8"/>
    </row>
    <row r="63" spans="1:1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24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5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P1"/>
    <mergeCell ref="A2:P2"/>
    <mergeCell ref="A3:P3"/>
    <mergeCell ref="A4:P4"/>
    <mergeCell ref="A64:P64"/>
  </mergeCells>
  <conditionalFormatting sqref="O7:O62">
    <cfRule type="expression" dxfId="2" priority="1">
      <formula>O7="Dropped"</formula>
    </cfRule>
    <cfRule type="expression" dxfId="1" priority="2">
      <formula>O7="Probation"</formula>
    </cfRule>
    <cfRule type="expression" dxfId="0" priority="3">
      <formula>O7="Promoted"</formula>
    </cfRule>
  </conditionalFormatting>
  <pageMargins left="0.7" right="0.7" top="0.75" bottom="0.75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Semester 1</vt:lpstr>
      <vt:lpstr>Semester 2</vt:lpstr>
      <vt:lpstr>Semester 3</vt:lpstr>
      <vt:lpstr>Semester 4</vt:lpstr>
      <vt:lpstr>Semester 5</vt:lpstr>
      <vt:lpstr>Semester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Arif</dc:creator>
  <cp:lastModifiedBy>Muhammad Arif</cp:lastModifiedBy>
  <dcterms:created xsi:type="dcterms:W3CDTF">2026-07-14T13:32:11Z</dcterms:created>
  <dcterms:modified xsi:type="dcterms:W3CDTF">2026-08-29T16:06:43Z</dcterms:modified>
</cp:coreProperties>
</file>